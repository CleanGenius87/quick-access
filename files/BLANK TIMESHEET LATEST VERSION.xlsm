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tiogluh\OneDrive - RATP Dev\Desktop\"/>
    </mc:Choice>
  </mc:AlternateContent>
  <xr:revisionPtr revIDLastSave="0" documentId="8_{4DCD7983-3EE8-40AC-8700-EEA240C59407}" xr6:coauthVersionLast="47" xr6:coauthVersionMax="47" xr10:uidLastSave="{00000000-0000-0000-0000-000000000000}"/>
  <bookViews>
    <workbookView xWindow="28680" yWindow="-120" windowWidth="29040" windowHeight="15720" xr2:uid="{57EDBE8D-E68C-4325-96A0-F6DDD62B4559}"/>
  </bookViews>
  <sheets>
    <sheet name="Duty Statement" sheetId="1" r:id="rId1"/>
    <sheet name="Values" sheetId="2" state="hidden" r:id="rId2"/>
  </sheets>
  <definedNames>
    <definedName name="LD">Values!$H$4:$H$11</definedName>
    <definedName name="PD">Values!$H$14:$H$25</definedName>
    <definedName name="_xlnm.Print_Area" localSheetId="0">'Duty Statement'!$B$1:$Q$52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2" i="1" l="1"/>
  <c r="N41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10" i="1"/>
  <c r="M40" i="1" l="1"/>
  <c r="N40" i="1" s="1"/>
  <c r="M39" i="1"/>
  <c r="N39" i="1" s="1"/>
  <c r="M38" i="1"/>
  <c r="N38" i="1" s="1"/>
  <c r="M37" i="1"/>
  <c r="N37" i="1" s="1"/>
  <c r="M36" i="1"/>
  <c r="N36" i="1" s="1"/>
  <c r="M35" i="1"/>
  <c r="N35" i="1" s="1"/>
  <c r="M34" i="1"/>
  <c r="N34" i="1" s="1"/>
  <c r="M33" i="1"/>
  <c r="N33" i="1" s="1"/>
  <c r="M32" i="1"/>
  <c r="N32" i="1" s="1"/>
  <c r="M31" i="1"/>
  <c r="N31" i="1" s="1"/>
  <c r="M30" i="1"/>
  <c r="N30" i="1" s="1"/>
  <c r="M29" i="1"/>
  <c r="N29" i="1" s="1"/>
  <c r="M28" i="1"/>
  <c r="N28" i="1" s="1"/>
  <c r="M27" i="1"/>
  <c r="N27" i="1" s="1"/>
  <c r="M26" i="1"/>
  <c r="N26" i="1" s="1"/>
  <c r="M25" i="1"/>
  <c r="N25" i="1" s="1"/>
  <c r="M24" i="1"/>
  <c r="N24" i="1" s="1"/>
  <c r="M23" i="1"/>
  <c r="N23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2" i="1"/>
  <c r="N12" i="1" s="1"/>
  <c r="M11" i="1"/>
  <c r="N11" i="1" s="1"/>
  <c r="M10" i="1"/>
  <c r="N10" i="1" s="1"/>
  <c r="C10" i="1"/>
  <c r="C11" i="1" s="1"/>
  <c r="G10" i="1" l="1"/>
  <c r="G23" i="1"/>
  <c r="G13" i="1"/>
  <c r="G25" i="1"/>
  <c r="G27" i="1"/>
  <c r="G14" i="1"/>
  <c r="G34" i="1"/>
  <c r="G15" i="1"/>
  <c r="G20" i="1"/>
  <c r="G19" i="1"/>
  <c r="G29" i="1"/>
  <c r="G30" i="1"/>
  <c r="G22" i="1"/>
  <c r="G33" i="1"/>
  <c r="G17" i="1"/>
  <c r="G32" i="1"/>
  <c r="G18" i="1"/>
  <c r="G28" i="1"/>
  <c r="G24" i="1"/>
  <c r="G11" i="1"/>
  <c r="G35" i="1"/>
  <c r="G16" i="1"/>
  <c r="G21" i="1"/>
  <c r="G26" i="1"/>
  <c r="G12" i="1"/>
  <c r="G31" i="1"/>
  <c r="C12" i="1"/>
  <c r="C13" i="1" s="1"/>
  <c r="B11" i="1"/>
  <c r="B10" i="1"/>
  <c r="G38" i="1"/>
  <c r="G40" i="1"/>
  <c r="G36" i="1"/>
  <c r="G39" i="1"/>
  <c r="G37" i="1"/>
  <c r="B12" i="1" l="1"/>
  <c r="B13" i="1"/>
  <c r="C14" i="1"/>
  <c r="C15" i="1" l="1"/>
  <c r="B14" i="1"/>
  <c r="B15" i="1" l="1"/>
  <c r="C16" i="1"/>
  <c r="C17" i="1" l="1"/>
  <c r="B16" i="1"/>
  <c r="B17" i="1" l="1"/>
  <c r="C18" i="1"/>
  <c r="C19" i="1" l="1"/>
  <c r="B18" i="1"/>
  <c r="B19" i="1" l="1"/>
  <c r="C20" i="1"/>
  <c r="C21" i="1" l="1"/>
  <c r="B20" i="1"/>
  <c r="B21" i="1" l="1"/>
  <c r="C22" i="1"/>
  <c r="C23" i="1" l="1"/>
  <c r="B22" i="1"/>
  <c r="B23" i="1" l="1"/>
  <c r="C24" i="1"/>
  <c r="C25" i="1" l="1"/>
  <c r="B24" i="1"/>
  <c r="B25" i="1" l="1"/>
  <c r="C26" i="1"/>
  <c r="C27" i="1" l="1"/>
  <c r="B26" i="1"/>
  <c r="B27" i="1" l="1"/>
  <c r="C28" i="1"/>
  <c r="C29" i="1" l="1"/>
  <c r="B28" i="1"/>
  <c r="B29" i="1" l="1"/>
  <c r="C30" i="1"/>
  <c r="C31" i="1" l="1"/>
  <c r="B30" i="1"/>
  <c r="B31" i="1" l="1"/>
  <c r="C32" i="1"/>
  <c r="C33" i="1" l="1"/>
  <c r="B32" i="1"/>
  <c r="B33" i="1" l="1"/>
  <c r="C34" i="1"/>
  <c r="C35" i="1" l="1"/>
  <c r="B34" i="1"/>
  <c r="B35" i="1" l="1"/>
  <c r="C36" i="1"/>
  <c r="C37" i="1" l="1"/>
  <c r="B36" i="1"/>
  <c r="C39" i="1" l="1"/>
  <c r="B39" i="1" s="1"/>
  <c r="B37" i="1"/>
  <c r="C38" i="1"/>
  <c r="B38" i="1" s="1"/>
  <c r="C40" i="1"/>
  <c r="B4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RAHMAN Faz</author>
  </authors>
  <commentList>
    <comment ref="P2" authorId="0" shapeId="0" xr:uid="{2C0982AE-C8AA-4778-A301-B2BD62398BFC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Select Correct Date</t>
        </r>
      </text>
    </comment>
    <comment ref="Q44" authorId="0" shapeId="0" xr:uid="{51437083-2E9D-486B-888C-7DB6848C042A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6" authorId="0" shapeId="0" xr:uid="{0749AEFA-178E-4D85-A091-C74EA09D58B0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  <comment ref="Q48" authorId="0" shapeId="0" xr:uid="{7492668D-7EBE-4B44-BFF1-2228CDBF5349}">
      <text>
        <r>
          <rPr>
            <b/>
            <sz val="9"/>
            <color indexed="81"/>
            <rFont val="Tahoma"/>
            <family val="2"/>
          </rPr>
          <t>RAHMAN Faz:</t>
        </r>
        <r>
          <rPr>
            <sz val="9"/>
            <color indexed="81"/>
            <rFont val="Tahoma"/>
            <family val="2"/>
          </rPr>
          <t xml:space="preserve">
Must Sign </t>
        </r>
      </text>
    </comment>
  </commentList>
</comments>
</file>

<file path=xl/sharedStrings.xml><?xml version="1.0" encoding="utf-8"?>
<sst xmlns="http://schemas.openxmlformats.org/spreadsheetml/2006/main" count="108" uniqueCount="93">
  <si>
    <t>START DATE</t>
  </si>
  <si>
    <t>Location</t>
  </si>
  <si>
    <t>Employee No.</t>
  </si>
  <si>
    <t>STANDARD DUTIES</t>
  </si>
  <si>
    <t>OVERTIME not incl WRD</t>
  </si>
  <si>
    <t>Day</t>
  </si>
  <si>
    <t>Date</t>
  </si>
  <si>
    <t>Duty  Details</t>
  </si>
  <si>
    <t>Sign</t>
  </si>
  <si>
    <t xml:space="preserve">Sign </t>
  </si>
  <si>
    <t>Duty</t>
  </si>
  <si>
    <t>Start</t>
  </si>
  <si>
    <t>End</t>
  </si>
  <si>
    <t>Overtime</t>
  </si>
  <si>
    <t>On</t>
  </si>
  <si>
    <t>Off</t>
  </si>
  <si>
    <t>Hours</t>
  </si>
  <si>
    <t>Time</t>
  </si>
  <si>
    <t>The duty details box MUST have an entry for EVERY day, even when you are Resting!</t>
  </si>
  <si>
    <t>Don't forget to show which days you are scheduled to Rest during Holidays or Sickness</t>
  </si>
  <si>
    <t/>
  </si>
  <si>
    <t>I confirm, this document is accurate to the best of my knowledge of the duties I have completed for this month.</t>
  </si>
  <si>
    <t>Signed by (Service Controller)</t>
  </si>
  <si>
    <t>Check Box List</t>
  </si>
  <si>
    <t>Rest</t>
  </si>
  <si>
    <t>Hourly Rate</t>
  </si>
  <si>
    <t>B/H Dates</t>
  </si>
  <si>
    <t>Calendar List</t>
  </si>
  <si>
    <t>Pay Dates</t>
  </si>
  <si>
    <t>FW1E</t>
  </si>
  <si>
    <t>FW1L</t>
  </si>
  <si>
    <t>FW2E</t>
  </si>
  <si>
    <t>FW2L</t>
  </si>
  <si>
    <t>FW3E</t>
  </si>
  <si>
    <t>FW3L</t>
  </si>
  <si>
    <t>SPE</t>
  </si>
  <si>
    <t>SPL</t>
  </si>
  <si>
    <t>OR</t>
  </si>
  <si>
    <t>SK</t>
  </si>
  <si>
    <t>A/H</t>
  </si>
  <si>
    <t>W</t>
  </si>
  <si>
    <t>R</t>
  </si>
  <si>
    <t>D</t>
  </si>
  <si>
    <t>MBL - E</t>
  </si>
  <si>
    <t>MBL - L</t>
  </si>
  <si>
    <t>RATP TIME SHEET</t>
  </si>
  <si>
    <t>MBL - E Kingston</t>
  </si>
  <si>
    <t>MBL - M Kingston</t>
  </si>
  <si>
    <t>MBL - L Kingston</t>
  </si>
  <si>
    <t>MBL - E Richmond</t>
  </si>
  <si>
    <t>MBL - M Richmond</t>
  </si>
  <si>
    <t>MBL - L Richmond</t>
  </si>
  <si>
    <t>FW4E</t>
  </si>
  <si>
    <t>FW4L</t>
  </si>
  <si>
    <t>FW5E</t>
  </si>
  <si>
    <t>FW5L</t>
  </si>
  <si>
    <t>FW6E</t>
  </si>
  <si>
    <t>FW6L</t>
  </si>
  <si>
    <t>FW7E</t>
  </si>
  <si>
    <t>FW7L</t>
  </si>
  <si>
    <t>FW8E</t>
  </si>
  <si>
    <t>FW8L</t>
  </si>
  <si>
    <t>FW9E</t>
  </si>
  <si>
    <t>SPC</t>
  </si>
  <si>
    <t>MBL - C</t>
  </si>
  <si>
    <t>Checked &amp; Signed by (Resource Planner)</t>
  </si>
  <si>
    <t>Authorised &amp; Signed by (Manager PM)</t>
  </si>
  <si>
    <t>NSOVRP</t>
  </si>
  <si>
    <t>NRFW</t>
  </si>
  <si>
    <t>NVSX</t>
  </si>
  <si>
    <t>NSPARE</t>
  </si>
  <si>
    <t>Approved By Manager
(Initials)</t>
  </si>
  <si>
    <t xml:space="preserve">Notes:    </t>
  </si>
  <si>
    <t>Fulwell OCC</t>
  </si>
  <si>
    <t xml:space="preserve">Other </t>
  </si>
  <si>
    <t>B/H</t>
  </si>
  <si>
    <t>Sunday Supplement</t>
  </si>
  <si>
    <t>FW10E</t>
  </si>
  <si>
    <t>FW10L</t>
  </si>
  <si>
    <t>Total Overtime</t>
  </si>
  <si>
    <r>
      <t xml:space="preserve">Name </t>
    </r>
    <r>
      <rPr>
        <b/>
        <sz val="8"/>
        <rFont val="Trebuchet MS"/>
        <family val="2"/>
      </rPr>
      <t>(First Initial &amp; Surname)</t>
    </r>
  </si>
  <si>
    <t>FW9L</t>
  </si>
  <si>
    <t>Rail</t>
  </si>
  <si>
    <t>Absent</t>
  </si>
  <si>
    <t>See notes</t>
  </si>
  <si>
    <t>S OCC</t>
  </si>
  <si>
    <t>SO OCC</t>
  </si>
  <si>
    <t>X OCC</t>
  </si>
  <si>
    <t>for details</t>
  </si>
  <si>
    <t>Version 6</t>
  </si>
  <si>
    <t>Driving</t>
  </si>
  <si>
    <t>SPL 2</t>
  </si>
  <si>
    <t>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</si>
</sst>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[$-F800]dddd\,\ mmmm\ dd\,\ yyyy"/>
    <numFmt numFmtId="165" formatCode="&quot;£&quot;#,##0.00"/>
    <numFmt numFmtId="166" formatCode="dd/mm/yyyy;@"/>
    <numFmt numFmtId="167" formatCode="ddd"/>
    <numFmt numFmtId="168" formatCode="dd/mm"/>
    <numFmt numFmtId="169" formatCode="h:mm"/>
  </numFmts>
  <fonts count="32" x14ac:knownFonts="1">
    <font>
      <sz val="10"/>
      <name val="Arial"/>
      <family val="2"/>
    </font>
    <font>
      <sz val="10"/>
      <name val="Arial"/>
      <family val="2"/>
    </font>
    <font>
      <b/>
      <sz val="11"/>
      <color rgb="FFFF0000"/>
      <name val="Trebuchet MS"/>
      <family val="2"/>
    </font>
    <font>
      <b/>
      <sz val="36"/>
      <name val="Trebuchet MS"/>
      <family val="2"/>
    </font>
    <font>
      <b/>
      <sz val="8"/>
      <color indexed="22"/>
      <name val="Arial"/>
      <family val="2"/>
    </font>
    <font>
      <b/>
      <sz val="13"/>
      <name val="Arial"/>
      <family val="2"/>
    </font>
    <font>
      <b/>
      <sz val="10"/>
      <name val="Trebuchet MS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rebuchet MS"/>
      <family val="2"/>
    </font>
    <font>
      <b/>
      <sz val="10"/>
      <name val="Arial Black"/>
      <family val="2"/>
    </font>
    <font>
      <b/>
      <sz val="9"/>
      <name val="Trebuchet MS"/>
      <family val="2"/>
    </font>
    <font>
      <b/>
      <sz val="10"/>
      <color theme="0"/>
      <name val="Trebuchet MS"/>
      <family val="2"/>
    </font>
    <font>
      <b/>
      <sz val="8"/>
      <name val="Arial"/>
      <family val="2"/>
    </font>
    <font>
      <b/>
      <sz val="8"/>
      <name val="Arial Narrow"/>
      <family val="2"/>
    </font>
    <font>
      <sz val="10"/>
      <name val="Trebuchet MS"/>
      <family val="2"/>
    </font>
    <font>
      <i/>
      <sz val="10"/>
      <color indexed="10"/>
      <name val="Trebuchet MS"/>
      <family val="2"/>
    </font>
    <font>
      <sz val="9"/>
      <name val="Trebuchet MS"/>
      <family val="2"/>
    </font>
    <font>
      <i/>
      <sz val="10"/>
      <color indexed="12"/>
      <name val="Trebuchet MS"/>
      <family val="2"/>
    </font>
    <font>
      <sz val="12"/>
      <name val="Arial"/>
      <family val="2"/>
    </font>
    <font>
      <sz val="11"/>
      <name val="Trebuchet MS"/>
      <family val="2"/>
    </font>
    <font>
      <sz val="11"/>
      <name val="Arial"/>
      <family val="2"/>
    </font>
    <font>
      <sz val="11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0"/>
      <color theme="1"/>
      <name val="Trebuchet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rebuchet MS"/>
      <family val="2"/>
    </font>
    <font>
      <b/>
      <i/>
      <sz val="14"/>
      <name val="Dreaming Outloud Script Pro"/>
      <family val="4"/>
    </font>
    <font>
      <b/>
      <sz val="8"/>
      <name val="Trebuchet MS"/>
      <family val="2"/>
    </font>
    <font>
      <b/>
      <sz val="11"/>
      <color theme="1"/>
      <name val="Trebuchet MS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/>
      <right style="hair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hair">
        <color auto="1"/>
      </right>
      <top/>
      <bottom/>
      <diagonal/>
    </border>
    <border>
      <left style="hair">
        <color auto="1"/>
      </left>
      <right style="thick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hair">
        <color auto="1"/>
      </right>
      <top/>
      <bottom style="thick">
        <color auto="1"/>
      </bottom>
      <diagonal/>
    </border>
    <border>
      <left style="hair">
        <color auto="1"/>
      </left>
      <right style="thick">
        <color auto="1"/>
      </right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/>
      <right style="thick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0" xfId="0" applyFont="1" applyAlignment="1" applyProtection="1">
      <alignment horizontal="centerContinuous" vertical="center"/>
      <protection hidden="1"/>
    </xf>
    <xf numFmtId="0" fontId="0" fillId="0" borderId="0" xfId="0" applyAlignment="1" applyProtection="1">
      <alignment horizontal="centerContinuous"/>
      <protection hidden="1"/>
    </xf>
    <xf numFmtId="20" fontId="4" fillId="0" borderId="0" xfId="0" applyNumberFormat="1" applyFont="1" applyAlignment="1" applyProtection="1">
      <alignment horizontal="centerContinuous"/>
      <protection hidden="1"/>
    </xf>
    <xf numFmtId="0" fontId="5" fillId="0" borderId="0" xfId="0" applyFont="1" applyAlignment="1" applyProtection="1">
      <alignment horizontal="centerContinuous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right"/>
      <protection hidden="1"/>
    </xf>
    <xf numFmtId="165" fontId="8" fillId="2" borderId="0" xfId="0" applyNumberFormat="1" applyFont="1" applyFill="1" applyProtection="1">
      <protection hidden="1"/>
    </xf>
    <xf numFmtId="49" fontId="10" fillId="0" borderId="0" xfId="0" applyNumberFormat="1" applyFont="1" applyAlignment="1" applyProtection="1">
      <alignment horizontal="center" vertical="center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6" fillId="0" borderId="13" xfId="0" applyFont="1" applyBorder="1" applyAlignment="1" applyProtection="1">
      <alignment vertical="center"/>
      <protection hidden="1"/>
    </xf>
    <xf numFmtId="0" fontId="7" fillId="0" borderId="0" xfId="0" applyFont="1" applyAlignment="1" applyProtection="1">
      <alignment horizontal="right"/>
      <protection hidden="1"/>
    </xf>
    <xf numFmtId="49" fontId="7" fillId="0" borderId="0" xfId="1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166" fontId="11" fillId="0" borderId="0" xfId="0" applyNumberFormat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1" fillId="0" borderId="20" xfId="0" applyFont="1" applyBorder="1" applyAlignment="1" applyProtection="1">
      <alignment horizontal="center"/>
      <protection hidden="1"/>
    </xf>
    <xf numFmtId="0" fontId="11" fillId="0" borderId="25" xfId="0" applyFont="1" applyBorder="1" applyAlignment="1" applyProtection="1">
      <alignment horizontal="center"/>
      <protection hidden="1"/>
    </xf>
    <xf numFmtId="0" fontId="11" fillId="0" borderId="26" xfId="0" applyFont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6" fillId="3" borderId="33" xfId="0" applyFont="1" applyFill="1" applyBorder="1" applyAlignment="1" applyProtection="1">
      <alignment horizontal="center" vertical="center"/>
      <protection hidden="1"/>
    </xf>
    <xf numFmtId="0" fontId="6" fillId="4" borderId="33" xfId="0" applyFont="1" applyFill="1" applyBorder="1" applyAlignment="1" applyProtection="1">
      <alignment horizontal="center" vertical="center"/>
      <protection hidden="1"/>
    </xf>
    <xf numFmtId="0" fontId="6" fillId="3" borderId="29" xfId="0" applyFont="1" applyFill="1" applyBorder="1" applyAlignment="1" applyProtection="1">
      <alignment horizontal="center" vertical="center"/>
      <protection hidden="1"/>
    </xf>
    <xf numFmtId="0" fontId="6" fillId="4" borderId="29" xfId="0" applyFont="1" applyFill="1" applyBorder="1" applyAlignment="1" applyProtection="1">
      <alignment horizontal="center" vertical="center"/>
      <protection hidden="1"/>
    </xf>
    <xf numFmtId="167" fontId="15" fillId="0" borderId="34" xfId="0" applyNumberFormat="1" applyFont="1" applyBorder="1" applyAlignment="1" applyProtection="1">
      <alignment horizontal="center" vertical="center"/>
      <protection hidden="1"/>
    </xf>
    <xf numFmtId="168" fontId="6" fillId="0" borderId="8" xfId="0" applyNumberFormat="1" applyFont="1" applyBorder="1" applyAlignment="1" applyProtection="1">
      <alignment horizontal="center" vertic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hidden="1"/>
    </xf>
    <xf numFmtId="169" fontId="15" fillId="0" borderId="8" xfId="0" applyNumberFormat="1" applyFont="1" applyBorder="1" applyAlignment="1" applyProtection="1">
      <alignment horizontal="center"/>
      <protection hidden="1"/>
    </xf>
    <xf numFmtId="20" fontId="15" fillId="0" borderId="8" xfId="0" applyNumberFormat="1" applyFont="1" applyBorder="1" applyAlignment="1" applyProtection="1">
      <alignment horizontal="center" vertical="center"/>
      <protection locked="0" hidden="1"/>
    </xf>
    <xf numFmtId="43" fontId="0" fillId="0" borderId="0" xfId="0" applyNumberFormat="1" applyAlignment="1" applyProtection="1">
      <alignment horizontal="right"/>
      <protection hidden="1"/>
    </xf>
    <xf numFmtId="43" fontId="0" fillId="0" borderId="0" xfId="1" applyNumberFormat="1" applyFont="1" applyFill="1" applyBorder="1" applyAlignment="1" applyProtection="1">
      <alignment horizontal="center"/>
      <protection hidden="1"/>
    </xf>
    <xf numFmtId="43" fontId="0" fillId="0" borderId="0" xfId="1" applyNumberFormat="1" applyFont="1" applyBorder="1" applyAlignment="1" applyProtection="1">
      <alignment horizontal="center"/>
      <protection hidden="1"/>
    </xf>
    <xf numFmtId="167" fontId="15" fillId="2" borderId="34" xfId="0" applyNumberFormat="1" applyFont="1" applyFill="1" applyBorder="1" applyAlignment="1" applyProtection="1">
      <alignment horizontal="center" vertical="center"/>
      <protection hidden="1"/>
    </xf>
    <xf numFmtId="168" fontId="6" fillId="2" borderId="8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49" fontId="1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44" fontId="0" fillId="0" borderId="0" xfId="0" applyNumberFormat="1" applyProtection="1">
      <protection hidden="1"/>
    </xf>
    <xf numFmtId="0" fontId="15" fillId="0" borderId="36" xfId="0" applyFont="1" applyBorder="1" applyAlignment="1" applyProtection="1">
      <alignment vertical="top"/>
      <protection hidden="1"/>
    </xf>
    <xf numFmtId="0" fontId="15" fillId="0" borderId="37" xfId="0" applyFont="1" applyBorder="1" applyAlignment="1" applyProtection="1">
      <alignment vertical="top"/>
      <protection hidden="1"/>
    </xf>
    <xf numFmtId="49" fontId="19" fillId="0" borderId="0" xfId="0" applyNumberFormat="1" applyFont="1" applyAlignment="1" applyProtection="1">
      <alignment horizontal="center"/>
      <protection hidden="1"/>
    </xf>
    <xf numFmtId="0" fontId="20" fillId="0" borderId="0" xfId="0" applyFont="1"/>
    <xf numFmtId="0" fontId="21" fillId="0" borderId="0" xfId="0" applyFont="1"/>
    <xf numFmtId="0" fontId="22" fillId="8" borderId="41" xfId="0" applyFont="1" applyFill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Continuous"/>
    </xf>
    <xf numFmtId="0" fontId="20" fillId="0" borderId="22" xfId="0" applyFont="1" applyBorder="1" applyAlignment="1">
      <alignment horizontal="centerContinuous"/>
    </xf>
    <xf numFmtId="165" fontId="23" fillId="2" borderId="24" xfId="0" applyNumberFormat="1" applyFont="1" applyFill="1" applyBorder="1" applyProtection="1">
      <protection locked="0" hidden="1"/>
    </xf>
    <xf numFmtId="0" fontId="1" fillId="0" borderId="0" xfId="0" applyFont="1"/>
    <xf numFmtId="0" fontId="20" fillId="0" borderId="43" xfId="0" applyFont="1" applyBorder="1" applyAlignment="1">
      <alignment horizontal="centerContinuous"/>
    </xf>
    <xf numFmtId="0" fontId="20" fillId="0" borderId="25" xfId="0" applyFont="1" applyBorder="1" applyAlignment="1">
      <alignment horizontal="centerContinuous"/>
    </xf>
    <xf numFmtId="165" fontId="23" fillId="2" borderId="26" xfId="0" applyNumberFormat="1" applyFont="1" applyFill="1" applyBorder="1" applyProtection="1">
      <protection locked="0" hidden="1"/>
    </xf>
    <xf numFmtId="168" fontId="20" fillId="0" borderId="42" xfId="0" applyNumberFormat="1" applyFont="1" applyBorder="1" applyAlignment="1">
      <alignment horizontal="center"/>
    </xf>
    <xf numFmtId="164" fontId="20" fillId="0" borderId="42" xfId="0" applyNumberFormat="1" applyFont="1" applyBorder="1" applyAlignment="1">
      <alignment horizontal="center"/>
    </xf>
    <xf numFmtId="168" fontId="20" fillId="0" borderId="23" xfId="0" applyNumberFormat="1" applyFont="1" applyBorder="1" applyAlignment="1">
      <alignment horizontal="center"/>
    </xf>
    <xf numFmtId="0" fontId="22" fillId="10" borderId="41" xfId="0" applyFont="1" applyFill="1" applyBorder="1" applyAlignment="1">
      <alignment horizontal="center" vertical="center"/>
    </xf>
    <xf numFmtId="168" fontId="20" fillId="0" borderId="42" xfId="0" applyNumberFormat="1" applyFont="1" applyBorder="1" applyAlignment="1">
      <alignment horizontal="center" vertical="center"/>
    </xf>
    <xf numFmtId="164" fontId="20" fillId="0" borderId="23" xfId="0" applyNumberFormat="1" applyFont="1" applyBorder="1" applyAlignment="1">
      <alignment horizontal="center"/>
    </xf>
    <xf numFmtId="0" fontId="20" fillId="0" borderId="23" xfId="0" applyFont="1" applyBorder="1" applyAlignment="1">
      <alignment horizontal="center" vertical="center"/>
    </xf>
    <xf numFmtId="168" fontId="20" fillId="0" borderId="23" xfId="0" applyNumberFormat="1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20" fontId="20" fillId="0" borderId="8" xfId="0" applyNumberFormat="1" applyFont="1" applyBorder="1" applyAlignment="1">
      <alignment horizontal="center" vertical="center"/>
    </xf>
    <xf numFmtId="0" fontId="8" fillId="0" borderId="25" xfId="0" applyFont="1" applyBorder="1" applyProtection="1">
      <protection hidden="1"/>
    </xf>
    <xf numFmtId="0" fontId="15" fillId="0" borderId="8" xfId="0" applyFont="1" applyBorder="1" applyAlignment="1" applyProtection="1">
      <alignment horizontal="center" vertical="center"/>
      <protection locked="0" hidden="1"/>
    </xf>
    <xf numFmtId="0" fontId="0" fillId="0" borderId="20" xfId="0" applyBorder="1"/>
    <xf numFmtId="20" fontId="20" fillId="0" borderId="29" xfId="0" applyNumberFormat="1" applyFont="1" applyBorder="1" applyAlignment="1">
      <alignment horizontal="center" vertical="center"/>
    </xf>
    <xf numFmtId="0" fontId="6" fillId="12" borderId="29" xfId="0" applyFont="1" applyFill="1" applyBorder="1" applyAlignment="1" applyProtection="1">
      <alignment horizontal="center" vertical="center"/>
      <protection hidden="1"/>
    </xf>
    <xf numFmtId="0" fontId="25" fillId="0" borderId="8" xfId="0" applyFont="1" applyBorder="1" applyAlignment="1" applyProtection="1">
      <alignment horizontal="center" vertical="center"/>
      <protection locked="0" hidden="1"/>
    </xf>
    <xf numFmtId="0" fontId="21" fillId="0" borderId="36" xfId="0" applyFont="1" applyBorder="1" applyProtection="1">
      <protection hidden="1"/>
    </xf>
    <xf numFmtId="0" fontId="7" fillId="9" borderId="45" xfId="0" applyFont="1" applyFill="1" applyBorder="1" applyProtection="1">
      <protection hidden="1"/>
    </xf>
    <xf numFmtId="0" fontId="6" fillId="6" borderId="31" xfId="0" applyFont="1" applyFill="1" applyBorder="1" applyAlignment="1" applyProtection="1">
      <alignment horizontal="center" vertical="center" wrapText="1"/>
      <protection hidden="1"/>
    </xf>
    <xf numFmtId="0" fontId="12" fillId="0" borderId="43" xfId="0" applyFont="1" applyBorder="1" applyAlignment="1" applyProtection="1">
      <alignment horizontal="center"/>
      <protection hidden="1"/>
    </xf>
    <xf numFmtId="0" fontId="6" fillId="6" borderId="38" xfId="0" applyFont="1" applyFill="1" applyBorder="1" applyAlignment="1" applyProtection="1">
      <alignment horizontal="center" vertical="center" wrapText="1"/>
      <protection hidden="1"/>
    </xf>
    <xf numFmtId="20" fontId="20" fillId="13" borderId="8" xfId="0" applyNumberFormat="1" applyFont="1" applyFill="1" applyBorder="1" applyAlignment="1">
      <alignment horizontal="center" vertical="center"/>
    </xf>
    <xf numFmtId="168" fontId="20" fillId="0" borderId="0" xfId="0" applyNumberFormat="1" applyFont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20" fontId="20" fillId="16" borderId="8" xfId="0" applyNumberFormat="1" applyFont="1" applyFill="1" applyBorder="1" applyAlignment="1">
      <alignment horizontal="center" vertical="center"/>
    </xf>
    <xf numFmtId="0" fontId="17" fillId="4" borderId="35" xfId="0" applyFont="1" applyFill="1" applyBorder="1" applyAlignment="1" applyProtection="1">
      <alignment horizontal="center" vertical="center"/>
      <protection hidden="1"/>
    </xf>
    <xf numFmtId="0" fontId="6" fillId="4" borderId="31" xfId="0" applyFont="1" applyFill="1" applyBorder="1" applyAlignment="1" applyProtection="1">
      <alignment horizontal="center" vertical="center"/>
      <protection hidden="1"/>
    </xf>
    <xf numFmtId="20" fontId="15" fillId="5" borderId="38" xfId="0" applyNumberFormat="1" applyFont="1" applyFill="1" applyBorder="1" applyAlignment="1" applyProtection="1">
      <alignment horizontal="center" vertical="center"/>
      <protection hidden="1"/>
    </xf>
    <xf numFmtId="20" fontId="17" fillId="5" borderId="38" xfId="0" applyNumberFormat="1" applyFont="1" applyFill="1" applyBorder="1" applyAlignment="1" applyProtection="1">
      <alignment horizontal="center" vertical="center"/>
      <protection hidden="1"/>
    </xf>
    <xf numFmtId="164" fontId="20" fillId="0" borderId="0" xfId="0" applyNumberFormat="1" applyFont="1" applyAlignment="1">
      <alignment horizontal="center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29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top"/>
      <protection hidden="1"/>
    </xf>
    <xf numFmtId="0" fontId="15" fillId="0" borderId="44" xfId="0" applyFont="1" applyBorder="1" applyAlignment="1" applyProtection="1">
      <alignment vertical="top"/>
      <protection hidden="1"/>
    </xf>
    <xf numFmtId="49" fontId="15" fillId="0" borderId="56" xfId="0" applyNumberFormat="1" applyFont="1" applyBorder="1" applyAlignment="1" applyProtection="1">
      <alignment vertical="top"/>
      <protection hidden="1"/>
    </xf>
    <xf numFmtId="49" fontId="15" fillId="0" borderId="49" xfId="0" applyNumberFormat="1" applyFont="1" applyBorder="1" applyAlignment="1" applyProtection="1">
      <alignment vertical="top"/>
      <protection hidden="1"/>
    </xf>
    <xf numFmtId="49" fontId="15" fillId="0" borderId="50" xfId="0" applyNumberFormat="1" applyFont="1" applyBorder="1" applyAlignment="1" applyProtection="1">
      <alignment vertical="top"/>
      <protection hidden="1"/>
    </xf>
    <xf numFmtId="0" fontId="0" fillId="0" borderId="53" xfId="0" applyBorder="1" applyProtection="1">
      <protection hidden="1"/>
    </xf>
    <xf numFmtId="0" fontId="0" fillId="0" borderId="66" xfId="0" applyBorder="1" applyProtection="1">
      <protection hidden="1"/>
    </xf>
    <xf numFmtId="165" fontId="24" fillId="2" borderId="1" xfId="0" applyNumberFormat="1" applyFont="1" applyFill="1" applyBorder="1" applyAlignment="1" applyProtection="1">
      <alignment horizontal="center" vertical="center"/>
      <protection hidden="1"/>
    </xf>
    <xf numFmtId="20" fontId="20" fillId="0" borderId="2" xfId="0" applyNumberFormat="1" applyFont="1" applyBorder="1" applyAlignment="1">
      <alignment horizontal="center" vertical="center"/>
    </xf>
    <xf numFmtId="20" fontId="20" fillId="0" borderId="3" xfId="0" applyNumberFormat="1" applyFont="1" applyBorder="1" applyAlignment="1">
      <alignment horizontal="center" vertical="center"/>
    </xf>
    <xf numFmtId="165" fontId="24" fillId="2" borderId="7" xfId="0" applyNumberFormat="1" applyFont="1" applyFill="1" applyBorder="1" applyAlignment="1" applyProtection="1">
      <alignment horizontal="center" vertical="center"/>
      <protection hidden="1"/>
    </xf>
    <xf numFmtId="20" fontId="20" fillId="0" borderId="52" xfId="0" applyNumberFormat="1" applyFont="1" applyBorder="1" applyAlignment="1">
      <alignment horizontal="center" vertical="center"/>
    </xf>
    <xf numFmtId="0" fontId="20" fillId="0" borderId="53" xfId="0" applyFont="1" applyBorder="1"/>
    <xf numFmtId="165" fontId="24" fillId="16" borderId="7" xfId="0" applyNumberFormat="1" applyFont="1" applyFill="1" applyBorder="1" applyAlignment="1" applyProtection="1">
      <alignment horizontal="center" vertical="center"/>
      <protection hidden="1"/>
    </xf>
    <xf numFmtId="20" fontId="20" fillId="16" borderId="52" xfId="0" applyNumberFormat="1" applyFont="1" applyFill="1" applyBorder="1" applyAlignment="1">
      <alignment horizontal="center" vertical="center"/>
    </xf>
    <xf numFmtId="165" fontId="31" fillId="16" borderId="7" xfId="0" applyNumberFormat="1" applyFont="1" applyFill="1" applyBorder="1" applyAlignment="1" applyProtection="1">
      <alignment horizontal="center" vertical="center"/>
      <protection hidden="1"/>
    </xf>
    <xf numFmtId="0" fontId="20" fillId="13" borderId="7" xfId="0" applyFont="1" applyFill="1" applyBorder="1" applyAlignment="1">
      <alignment horizontal="center" vertical="center"/>
    </xf>
    <xf numFmtId="20" fontId="20" fillId="13" borderId="52" xfId="0" applyNumberFormat="1" applyFont="1" applyFill="1" applyBorder="1" applyAlignment="1">
      <alignment horizontal="center" vertical="center"/>
    </xf>
    <xf numFmtId="0" fontId="24" fillId="0" borderId="7" xfId="0" applyFont="1" applyBorder="1" applyAlignment="1" applyProtection="1">
      <alignment horizontal="center" vertical="center"/>
      <protection hidden="1"/>
    </xf>
    <xf numFmtId="0" fontId="20" fillId="0" borderId="68" xfId="0" applyFont="1" applyBorder="1" applyAlignment="1">
      <alignment horizontal="center" vertical="center"/>
    </xf>
    <xf numFmtId="20" fontId="20" fillId="0" borderId="51" xfId="0" applyNumberFormat="1" applyFont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0" borderId="52" xfId="0" applyFont="1" applyBorder="1" applyAlignment="1">
      <alignment horizontal="center" vertical="center"/>
    </xf>
    <xf numFmtId="0" fontId="20" fillId="6" borderId="7" xfId="0" applyFont="1" applyFill="1" applyBorder="1" applyAlignment="1">
      <alignment horizontal="center" vertical="center"/>
    </xf>
    <xf numFmtId="0" fontId="20" fillId="9" borderId="7" xfId="0" applyFont="1" applyFill="1" applyBorder="1" applyAlignment="1">
      <alignment horizontal="center" vertical="center"/>
    </xf>
    <xf numFmtId="0" fontId="20" fillId="15" borderId="69" xfId="0" applyFont="1" applyFill="1" applyBorder="1" applyAlignment="1">
      <alignment horizontal="center" vertical="center"/>
    </xf>
    <xf numFmtId="0" fontId="20" fillId="0" borderId="70" xfId="0" applyFont="1" applyBorder="1" applyAlignment="1">
      <alignment horizontal="center" vertical="center"/>
    </xf>
    <xf numFmtId="0" fontId="20" fillId="12" borderId="69" xfId="0" applyFont="1" applyFill="1" applyBorder="1" applyAlignment="1">
      <alignment horizontal="center" vertical="center"/>
    </xf>
    <xf numFmtId="0" fontId="20" fillId="14" borderId="12" xfId="0" applyFont="1" applyFill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71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/>
    <xf numFmtId="0" fontId="15" fillId="0" borderId="36" xfId="0" applyFont="1" applyBorder="1" applyAlignment="1" applyProtection="1">
      <alignment horizontal="center"/>
      <protection hidden="1"/>
    </xf>
    <xf numFmtId="0" fontId="15" fillId="0" borderId="37" xfId="0" applyFont="1" applyBorder="1" applyAlignment="1" applyProtection="1">
      <alignment horizontal="center"/>
      <protection hidden="1"/>
    </xf>
    <xf numFmtId="0" fontId="15" fillId="0" borderId="28" xfId="0" applyFont="1" applyBorder="1" applyAlignment="1" applyProtection="1">
      <alignment horizontal="center"/>
      <protection hidden="1"/>
    </xf>
    <xf numFmtId="0" fontId="15" fillId="0" borderId="44" xfId="0" applyFont="1" applyBorder="1" applyAlignment="1" applyProtection="1">
      <alignment horizontal="center"/>
      <protection hidden="1"/>
    </xf>
    <xf numFmtId="167" fontId="16" fillId="7" borderId="34" xfId="0" applyNumberFormat="1" applyFont="1" applyFill="1" applyBorder="1" applyAlignment="1" applyProtection="1">
      <alignment horizontal="left" vertical="center"/>
      <protection hidden="1"/>
    </xf>
    <xf numFmtId="167" fontId="16" fillId="7" borderId="8" xfId="0" applyNumberFormat="1" applyFont="1" applyFill="1" applyBorder="1" applyAlignment="1" applyProtection="1">
      <alignment horizontal="left" vertical="center"/>
      <protection hidden="1"/>
    </xf>
    <xf numFmtId="167" fontId="18" fillId="7" borderId="34" xfId="0" applyNumberFormat="1" applyFont="1" applyFill="1" applyBorder="1" applyAlignment="1" applyProtection="1">
      <alignment horizontal="left" vertical="center"/>
      <protection hidden="1"/>
    </xf>
    <xf numFmtId="167" fontId="18" fillId="7" borderId="8" xfId="0" applyNumberFormat="1" applyFont="1" applyFill="1" applyBorder="1" applyAlignment="1" applyProtection="1">
      <alignment horizontal="left" vertical="center"/>
      <protection hidden="1"/>
    </xf>
    <xf numFmtId="49" fontId="28" fillId="0" borderId="54" xfId="0" applyNumberFormat="1" applyFont="1" applyBorder="1" applyAlignment="1" applyProtection="1">
      <alignment horizontal="center" vertical="center" wrapText="1"/>
      <protection hidden="1"/>
    </xf>
    <xf numFmtId="49" fontId="28" fillId="0" borderId="49" xfId="0" applyNumberFormat="1" applyFont="1" applyBorder="1" applyAlignment="1" applyProtection="1">
      <alignment horizontal="center" vertical="center" wrapText="1"/>
      <protection hidden="1"/>
    </xf>
    <xf numFmtId="49" fontId="28" fillId="0" borderId="55" xfId="0" applyNumberFormat="1" applyFont="1" applyBorder="1" applyAlignment="1" applyProtection="1">
      <alignment horizontal="center" vertical="center" wrapText="1"/>
      <protection hidden="1"/>
    </xf>
    <xf numFmtId="49" fontId="28" fillId="0" borderId="57" xfId="0" applyNumberFormat="1" applyFont="1" applyBorder="1" applyAlignment="1" applyProtection="1">
      <alignment horizontal="center" vertical="center" wrapText="1"/>
      <protection hidden="1"/>
    </xf>
    <xf numFmtId="49" fontId="28" fillId="0" borderId="58" xfId="0" applyNumberFormat="1" applyFont="1" applyBorder="1" applyAlignment="1" applyProtection="1">
      <alignment horizontal="center" vertical="center" wrapText="1"/>
      <protection hidden="1"/>
    </xf>
    <xf numFmtId="49" fontId="28" fillId="0" borderId="59" xfId="0" applyNumberFormat="1" applyFont="1" applyBorder="1" applyAlignment="1" applyProtection="1">
      <alignment horizontal="center" vertical="center" wrapText="1"/>
      <protection hidden="1"/>
    </xf>
    <xf numFmtId="49" fontId="29" fillId="0" borderId="60" xfId="0" applyNumberFormat="1" applyFont="1" applyBorder="1" applyAlignment="1" applyProtection="1">
      <alignment horizontal="left" vertical="top"/>
      <protection locked="0" hidden="1"/>
    </xf>
    <xf numFmtId="49" fontId="29" fillId="0" borderId="58" xfId="0" applyNumberFormat="1" applyFont="1" applyBorder="1" applyAlignment="1" applyProtection="1">
      <alignment horizontal="left" vertical="top"/>
      <protection locked="0" hidden="1"/>
    </xf>
    <xf numFmtId="49" fontId="29" fillId="0" borderId="61" xfId="0" applyNumberFormat="1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horizontal="left" vertical="top"/>
      <protection locked="0" hidden="1"/>
    </xf>
    <xf numFmtId="0" fontId="29" fillId="0" borderId="30" xfId="0" applyFont="1" applyBorder="1" applyAlignment="1" applyProtection="1">
      <alignment horizontal="left" vertical="top"/>
      <protection locked="0" hidden="1"/>
    </xf>
    <xf numFmtId="0" fontId="29" fillId="0" borderId="28" xfId="0" applyFont="1" applyBorder="1" applyAlignment="1" applyProtection="1">
      <alignment vertical="top"/>
      <protection locked="0" hidden="1"/>
    </xf>
    <xf numFmtId="0" fontId="29" fillId="0" borderId="30" xfId="0" applyFont="1" applyBorder="1" applyAlignment="1" applyProtection="1">
      <alignment vertical="top"/>
      <protection locked="0" hidden="1"/>
    </xf>
    <xf numFmtId="0" fontId="15" fillId="0" borderId="65" xfId="0" applyFont="1" applyBorder="1" applyAlignment="1" applyProtection="1">
      <alignment horizontal="left" vertical="center"/>
      <protection locked="0"/>
    </xf>
    <xf numFmtId="0" fontId="15" fillId="0" borderId="39" xfId="0" applyFont="1" applyBorder="1" applyAlignment="1" applyProtection="1">
      <alignment horizontal="left" vertical="center"/>
      <protection locked="0"/>
    </xf>
    <xf numFmtId="0" fontId="15" fillId="0" borderId="48" xfId="0" applyFont="1" applyBorder="1" applyAlignment="1" applyProtection="1">
      <alignment horizontal="left" vertical="center"/>
      <protection locked="0"/>
    </xf>
    <xf numFmtId="2" fontId="15" fillId="5" borderId="8" xfId="0" applyNumberFormat="1" applyFont="1" applyFill="1" applyBorder="1" applyAlignment="1" applyProtection="1">
      <alignment horizontal="center" vertical="center"/>
      <protection hidden="1"/>
    </xf>
    <xf numFmtId="2" fontId="15" fillId="5" borderId="52" xfId="0" applyNumberFormat="1" applyFont="1" applyFill="1" applyBorder="1" applyAlignment="1" applyProtection="1">
      <alignment horizontal="center" vertical="center"/>
      <protection hidden="1"/>
    </xf>
    <xf numFmtId="0" fontId="6" fillId="3" borderId="21" xfId="0" applyFont="1" applyFill="1" applyBorder="1" applyAlignment="1" applyProtection="1">
      <alignment horizontal="center" vertical="center"/>
      <protection hidden="1"/>
    </xf>
    <xf numFmtId="0" fontId="6" fillId="3" borderId="22" xfId="0" applyFont="1" applyFill="1" applyBorder="1" applyAlignment="1" applyProtection="1">
      <alignment horizontal="center" vertical="center"/>
      <protection hidden="1"/>
    </xf>
    <xf numFmtId="0" fontId="6" fillId="3" borderId="27" xfId="0" applyFont="1" applyFill="1" applyBorder="1" applyAlignment="1" applyProtection="1">
      <alignment horizontal="center" vertical="center"/>
      <protection hidden="1"/>
    </xf>
    <xf numFmtId="0" fontId="6" fillId="3" borderId="28" xfId="0" applyFont="1" applyFill="1" applyBorder="1" applyAlignment="1" applyProtection="1">
      <alignment horizontal="center" vertical="center"/>
      <protection hidden="1"/>
    </xf>
    <xf numFmtId="0" fontId="6" fillId="0" borderId="32" xfId="0" applyFont="1" applyBorder="1" applyAlignment="1" applyProtection="1">
      <alignment horizontal="center" vertical="center"/>
      <protection hidden="1"/>
    </xf>
    <xf numFmtId="0" fontId="6" fillId="0" borderId="34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/>
      <protection hidden="1"/>
    </xf>
    <xf numFmtId="0" fontId="6" fillId="0" borderId="8" xfId="0" applyFont="1" applyBorder="1" applyAlignment="1" applyProtection="1">
      <alignment horizontal="center" vertical="center"/>
      <protection hidden="1"/>
    </xf>
    <xf numFmtId="0" fontId="6" fillId="0" borderId="29" xfId="0" applyFont="1" applyBorder="1" applyAlignment="1" applyProtection="1">
      <alignment horizontal="center" vertical="center" wrapText="1"/>
      <protection hidden="1"/>
    </xf>
    <xf numFmtId="0" fontId="6" fillId="0" borderId="8" xfId="0" applyFont="1" applyBorder="1" applyAlignment="1" applyProtection="1">
      <alignment horizontal="center" vertical="center" wrapText="1"/>
      <protection hidden="1"/>
    </xf>
    <xf numFmtId="0" fontId="6" fillId="9" borderId="62" xfId="0" applyFont="1" applyFill="1" applyBorder="1" applyAlignment="1" applyProtection="1">
      <alignment horizontal="center" vertical="top"/>
      <protection hidden="1"/>
    </xf>
    <xf numFmtId="0" fontId="6" fillId="9" borderId="63" xfId="0" applyFont="1" applyFill="1" applyBorder="1" applyAlignment="1" applyProtection="1">
      <alignment horizontal="center" vertical="top"/>
      <protection hidden="1"/>
    </xf>
    <xf numFmtId="0" fontId="6" fillId="9" borderId="64" xfId="0" applyFont="1" applyFill="1" applyBorder="1" applyAlignment="1" applyProtection="1">
      <alignment horizontal="center" vertical="top"/>
      <protection hidden="1"/>
    </xf>
    <xf numFmtId="0" fontId="1" fillId="0" borderId="67" xfId="0" applyFont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center" vertical="center"/>
      <protection locked="0" hidden="1"/>
    </xf>
    <xf numFmtId="0" fontId="6" fillId="0" borderId="3" xfId="0" applyFont="1" applyBorder="1" applyAlignment="1" applyProtection="1">
      <alignment horizontal="center" vertical="center"/>
      <protection locked="0" hidden="1"/>
    </xf>
    <xf numFmtId="0" fontId="9" fillId="9" borderId="4" xfId="0" applyFont="1" applyFill="1" applyBorder="1" applyAlignment="1" applyProtection="1">
      <alignment horizontal="center" vertical="distributed"/>
      <protection hidden="1"/>
    </xf>
    <xf numFmtId="0" fontId="9" fillId="9" borderId="5" xfId="0" applyFont="1" applyFill="1" applyBorder="1" applyAlignment="1" applyProtection="1">
      <alignment horizontal="center" vertical="distributed"/>
      <protection hidden="1"/>
    </xf>
    <xf numFmtId="0" fontId="9" fillId="9" borderId="9" xfId="0" applyFont="1" applyFill="1" applyBorder="1" applyAlignment="1" applyProtection="1">
      <alignment horizontal="center" vertical="distributed"/>
      <protection hidden="1"/>
    </xf>
    <xf numFmtId="0" fontId="9" fillId="9" borderId="10" xfId="0" applyFont="1" applyFill="1" applyBorder="1" applyAlignment="1" applyProtection="1">
      <alignment horizontal="center" vertical="distributed"/>
      <protection hidden="1"/>
    </xf>
    <xf numFmtId="0" fontId="9" fillId="9" borderId="17" xfId="0" applyFont="1" applyFill="1" applyBorder="1" applyAlignment="1" applyProtection="1">
      <alignment horizontal="center" vertical="distributed"/>
      <protection hidden="1"/>
    </xf>
    <xf numFmtId="0" fontId="9" fillId="9" borderId="18" xfId="0" applyFont="1" applyFill="1" applyBorder="1" applyAlignment="1" applyProtection="1">
      <alignment horizontal="center" vertical="distributed"/>
      <protection hidden="1"/>
    </xf>
    <xf numFmtId="164" fontId="9" fillId="9" borderId="6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5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1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0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9" xfId="0" applyNumberFormat="1" applyFont="1" applyFill="1" applyBorder="1" applyAlignment="1" applyProtection="1">
      <alignment horizontal="center" vertical="center" shrinkToFit="1"/>
      <protection locked="0" hidden="1"/>
    </xf>
    <xf numFmtId="164" fontId="9" fillId="9" borderId="18" xfId="0" applyNumberFormat="1" applyFont="1" applyFill="1" applyBorder="1" applyAlignment="1" applyProtection="1">
      <alignment horizontal="center" vertical="center" shrinkToFit="1"/>
      <protection locked="0" hidden="1"/>
    </xf>
    <xf numFmtId="0" fontId="6" fillId="0" borderId="7" xfId="0" applyFont="1" applyBorder="1" applyAlignment="1" applyProtection="1">
      <alignment horizontal="left" vertical="center"/>
      <protection hidden="1"/>
    </xf>
    <xf numFmtId="0" fontId="6" fillId="0" borderId="8" xfId="0" applyFont="1" applyBorder="1" applyAlignment="1" applyProtection="1">
      <alignment horizontal="left" vertical="center"/>
      <protection hidden="1"/>
    </xf>
    <xf numFmtId="0" fontId="6" fillId="0" borderId="38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center" vertical="center"/>
      <protection hidden="1"/>
    </xf>
    <xf numFmtId="0" fontId="6" fillId="0" borderId="48" xfId="0" applyFont="1" applyBorder="1" applyAlignment="1" applyProtection="1">
      <alignment horizontal="center" vertical="center"/>
      <protection hidden="1"/>
    </xf>
    <xf numFmtId="49" fontId="6" fillId="0" borderId="14" xfId="0" applyNumberFormat="1" applyFont="1" applyBorder="1" applyAlignment="1" applyProtection="1">
      <alignment horizontal="center" vertical="center"/>
      <protection locked="0" hidden="1"/>
    </xf>
    <xf numFmtId="49" fontId="6" fillId="0" borderId="15" xfId="0" applyNumberFormat="1" applyFont="1" applyBorder="1" applyAlignment="1" applyProtection="1">
      <alignment horizontal="center" vertical="center"/>
      <protection locked="0" hidden="1"/>
    </xf>
    <xf numFmtId="49" fontId="6" fillId="0" borderId="16" xfId="0" applyNumberFormat="1" applyFont="1" applyBorder="1" applyAlignment="1" applyProtection="1">
      <alignment horizontal="center" vertical="center"/>
      <protection locked="0" hidden="1"/>
    </xf>
    <xf numFmtId="0" fontId="6" fillId="4" borderId="0" xfId="0" applyFont="1" applyFill="1" applyAlignment="1" applyProtection="1">
      <alignment horizontal="center" vertical="center" shrinkToFit="1"/>
      <protection hidden="1"/>
    </xf>
    <xf numFmtId="0" fontId="6" fillId="4" borderId="28" xfId="0" applyFont="1" applyFill="1" applyBorder="1" applyAlignment="1" applyProtection="1">
      <alignment horizontal="center" vertical="center" shrinkToFit="1"/>
      <protection hidden="1"/>
    </xf>
    <xf numFmtId="0" fontId="6" fillId="12" borderId="30" xfId="0" applyFont="1" applyFill="1" applyBorder="1" applyAlignment="1" applyProtection="1">
      <alignment horizontal="center" vertical="center" wrapText="1"/>
      <protection hidden="1"/>
    </xf>
    <xf numFmtId="0" fontId="6" fillId="12" borderId="40" xfId="0" applyFont="1" applyFill="1" applyBorder="1" applyAlignment="1" applyProtection="1">
      <alignment horizontal="center" vertical="center" wrapText="1"/>
      <protection hidden="1"/>
    </xf>
    <xf numFmtId="0" fontId="6" fillId="6" borderId="46" xfId="0" applyFont="1" applyFill="1" applyBorder="1" applyAlignment="1" applyProtection="1">
      <alignment horizontal="center" vertical="center" wrapText="1"/>
      <protection hidden="1"/>
    </xf>
    <xf numFmtId="0" fontId="6" fillId="6" borderId="47" xfId="0" applyFont="1" applyFill="1" applyBorder="1" applyAlignment="1" applyProtection="1">
      <alignment horizontal="center" vertical="center" wrapText="1"/>
      <protection hidden="1"/>
    </xf>
    <xf numFmtId="0" fontId="6" fillId="6" borderId="29" xfId="0" applyFont="1" applyFill="1" applyBorder="1" applyAlignment="1" applyProtection="1">
      <alignment horizontal="center" vertical="center" wrapText="1"/>
      <protection hidden="1"/>
    </xf>
    <xf numFmtId="0" fontId="6" fillId="5" borderId="49" xfId="0" applyFont="1" applyFill="1" applyBorder="1" applyAlignment="1" applyProtection="1">
      <alignment horizontal="center" vertical="center"/>
      <protection hidden="1"/>
    </xf>
    <xf numFmtId="0" fontId="6" fillId="5" borderId="5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Alignment="1" applyProtection="1">
      <alignment horizontal="center" vertical="center"/>
      <protection hidden="1"/>
    </xf>
    <xf numFmtId="0" fontId="6" fillId="5" borderId="53" xfId="0" applyFont="1" applyFill="1" applyBorder="1" applyAlignment="1" applyProtection="1">
      <alignment horizontal="center" vertical="center"/>
      <protection hidden="1"/>
    </xf>
    <xf numFmtId="0" fontId="6" fillId="5" borderId="28" xfId="0" applyFont="1" applyFill="1" applyBorder="1" applyAlignment="1" applyProtection="1">
      <alignment horizontal="center" vertical="center"/>
      <protection hidden="1"/>
    </xf>
    <xf numFmtId="0" fontId="6" fillId="5" borderId="51" xfId="0" applyFont="1" applyFill="1" applyBorder="1" applyAlignment="1" applyProtection="1">
      <alignment horizontal="center" vertical="center"/>
      <protection hidden="1"/>
    </xf>
  </cellXfs>
  <cellStyles count="2">
    <cellStyle name="Currency" xfId="1" builtinId="4"/>
    <cellStyle name="Normal" xfId="0" builtinId="0"/>
  </cellStyles>
  <dxfs count="30"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13"/>
        </patternFill>
      </fill>
    </dxf>
    <dxf>
      <fill>
        <patternFill>
          <bgColor rgb="FFFF339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ndense val="0"/>
        <extend val="0"/>
        <color indexed="22"/>
      </font>
    </dxf>
    <dxf>
      <fill>
        <patternFill>
          <bgColor indexed="53"/>
        </patternFill>
      </fill>
    </dxf>
    <dxf>
      <font>
        <strike val="0"/>
      </font>
      <fill>
        <patternFill>
          <bgColor theme="5" tint="0.39994506668294322"/>
        </patternFill>
      </fill>
    </dxf>
    <dxf>
      <fill>
        <patternFill>
          <bgColor indexed="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3399"/>
      <color rgb="FFCC99FF"/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CheckBox" fmlaLink="Values!$F$4" lockText="1" noThreeD="1"/>
</file>

<file path=xl/ctrlProps/ctrlProp2.xml><?xml version="1.0" encoding="utf-8"?>
<formControlPr xmlns="http://schemas.microsoft.com/office/spreadsheetml/2009/9/main" objectType="CheckBox" fmlaLink="Values!$F$5" lockText="1" noThreeD="1"/>
</file>

<file path=xl/ctrlProps/ctrlProp3.xml><?xml version="1.0" encoding="utf-8"?>
<formControlPr xmlns="http://schemas.microsoft.com/office/spreadsheetml/2009/9/main" objectType="CheckBox" fmlaLink="Values!$F$6" lockText="1" noThreeD="1"/>
</file>

<file path=xl/ctrlProps/ctrlProp4.xml><?xml version="1.0" encoding="utf-8"?>
<formControlPr xmlns="http://schemas.microsoft.com/office/spreadsheetml/2009/9/main" objectType="CheckBox" fmlaLink="Values!$F$7" lockText="1" noThreeD="1"/>
</file>

<file path=xl/ctrlProps/ctrlProp5.xml><?xml version="1.0" encoding="utf-8"?>
<formControlPr xmlns="http://schemas.microsoft.com/office/spreadsheetml/2009/9/main" objectType="CheckBox" fmlaLink="Values!$F$8" lockText="1" noThreeD="1"/>
</file>

<file path=xl/ctrlProps/ctrlProp6.xml><?xml version="1.0" encoding="utf-8"?>
<formControlPr xmlns="http://schemas.microsoft.com/office/spreadsheetml/2009/9/main" objectType="CheckBox" fmlaLink="Values!$F$9" lockText="1" noThreeD="1"/>
</file>

<file path=xl/ctrlProps/ctrlProp7.xml><?xml version="1.0" encoding="utf-8"?>
<formControlPr xmlns="http://schemas.microsoft.com/office/spreadsheetml/2009/9/main" objectType="CheckBox" fmlaLink="Values!$F$10" lockText="1" noThreeD="1"/>
</file>

<file path=xl/ctrlProps/ctrlProp8.xml><?xml version="1.0" encoding="utf-8"?>
<formControlPr xmlns="http://schemas.microsoft.com/office/spreadsheetml/2009/9/main" objectType="CheckBox" fmlaLink="Values!$F$11" lockText="1" noThreeD="1"/>
</file>

<file path=xl/ctrlProps/ctrlProp9.xml><?xml version="1.0" encoding="utf-8"?>
<formControlPr xmlns="http://schemas.microsoft.com/office/spreadsheetml/2009/9/main" objectType="CheckBox" fmlaLink="Values!$F$12" lockText="1" noThreeD="1"/>
</file>

<file path=xl/ctrlProps/ctrlProp10.xml><?xml version="1.0" encoding="utf-8"?>
<formControlPr xmlns="http://schemas.microsoft.com/office/spreadsheetml/2009/9/main" objectType="CheckBox" fmlaLink="Values!$F$14" lockText="1" noThreeD="1"/>
</file>

<file path=xl/ctrlProps/ctrlProp11.xml><?xml version="1.0" encoding="utf-8"?>
<formControlPr xmlns="http://schemas.microsoft.com/office/spreadsheetml/2009/9/main" objectType="CheckBox" fmlaLink="Values!$F$13" lockText="1" noThreeD="1"/>
</file>

<file path=xl/ctrlProps/ctrlProp12.xml><?xml version="1.0" encoding="utf-8"?>
<formControlPr xmlns="http://schemas.microsoft.com/office/spreadsheetml/2009/9/main" objectType="CheckBox" fmlaLink="Values!$F$15" lockText="1" noThreeD="1"/>
</file>

<file path=xl/ctrlProps/ctrlProp13.xml><?xml version="1.0" encoding="utf-8"?>
<formControlPr xmlns="http://schemas.microsoft.com/office/spreadsheetml/2009/9/main" objectType="CheckBox" fmlaLink="Values!$F$16" lockText="1" noThreeD="1"/>
</file>

<file path=xl/ctrlProps/ctrlProp14.xml><?xml version="1.0" encoding="utf-8"?>
<formControlPr xmlns="http://schemas.microsoft.com/office/spreadsheetml/2009/9/main" objectType="CheckBox" fmlaLink="Values!$F$17" lockText="1" noThreeD="1"/>
</file>

<file path=xl/ctrlProps/ctrlProp15.xml><?xml version="1.0" encoding="utf-8"?>
<formControlPr xmlns="http://schemas.microsoft.com/office/spreadsheetml/2009/9/main" objectType="CheckBox" fmlaLink="Values!$F$18" lockText="1" noThreeD="1"/>
</file>

<file path=xl/ctrlProps/ctrlProp16.xml><?xml version="1.0" encoding="utf-8"?>
<formControlPr xmlns="http://schemas.microsoft.com/office/spreadsheetml/2009/9/main" objectType="CheckBox" fmlaLink="Values!$F$19" lockText="1" noThreeD="1"/>
</file>

<file path=xl/ctrlProps/ctrlProp17.xml><?xml version="1.0" encoding="utf-8"?>
<formControlPr xmlns="http://schemas.microsoft.com/office/spreadsheetml/2009/9/main" objectType="CheckBox" fmlaLink="Values!$F$20" lockText="1" noThreeD="1"/>
</file>

<file path=xl/ctrlProps/ctrlProp18.xml><?xml version="1.0" encoding="utf-8"?>
<formControlPr xmlns="http://schemas.microsoft.com/office/spreadsheetml/2009/9/main" objectType="CheckBox" fmlaLink="Values!$F$21" lockText="1" noThreeD="1"/>
</file>

<file path=xl/ctrlProps/ctrlProp19.xml><?xml version="1.0" encoding="utf-8"?>
<formControlPr xmlns="http://schemas.microsoft.com/office/spreadsheetml/2009/9/main" objectType="CheckBox" fmlaLink="Values!$F$22" lockText="1" noThreeD="1"/>
</file>

<file path=xl/ctrlProps/ctrlProp20.xml><?xml version="1.0" encoding="utf-8"?>
<formControlPr xmlns="http://schemas.microsoft.com/office/spreadsheetml/2009/9/main" objectType="CheckBox" fmlaLink="Values!$F$23" lockText="1" noThreeD="1"/>
</file>

<file path=xl/ctrlProps/ctrlProp21.xml><?xml version="1.0" encoding="utf-8"?>
<formControlPr xmlns="http://schemas.microsoft.com/office/spreadsheetml/2009/9/main" objectType="CheckBox" fmlaLink="Values!$F$24" lockText="1" noThreeD="1"/>
</file>

<file path=xl/ctrlProps/ctrlProp22.xml><?xml version="1.0" encoding="utf-8"?>
<formControlPr xmlns="http://schemas.microsoft.com/office/spreadsheetml/2009/9/main" objectType="CheckBox" fmlaLink="Values!$F$25" lockText="1" noThreeD="1"/>
</file>

<file path=xl/ctrlProps/ctrlProp23.xml><?xml version="1.0" encoding="utf-8"?>
<formControlPr xmlns="http://schemas.microsoft.com/office/spreadsheetml/2009/9/main" objectType="CheckBox" fmlaLink="Values!$F$26" lockText="1" noThreeD="1"/>
</file>

<file path=xl/ctrlProps/ctrlProp24.xml><?xml version="1.0" encoding="utf-8"?>
<formControlPr xmlns="http://schemas.microsoft.com/office/spreadsheetml/2009/9/main" objectType="CheckBox" fmlaLink="Values!$F$28" lockText="1" noThreeD="1"/>
</file>

<file path=xl/ctrlProps/ctrlProp25.xml><?xml version="1.0" encoding="utf-8"?>
<formControlPr xmlns="http://schemas.microsoft.com/office/spreadsheetml/2009/9/main" objectType="CheckBox" fmlaLink="Values!$F$32" lockText="1" noThreeD="1"/>
</file>

<file path=xl/ctrlProps/ctrlProp26.xml><?xml version="1.0" encoding="utf-8"?>
<formControlPr xmlns="http://schemas.microsoft.com/office/spreadsheetml/2009/9/main" objectType="CheckBox" fmlaLink="Values!$F$33" lockText="1" noThreeD="1"/>
</file>

<file path=xl/ctrlProps/ctrlProp27.xml><?xml version="1.0" encoding="utf-8"?>
<formControlPr xmlns="http://schemas.microsoft.com/office/spreadsheetml/2009/9/main" objectType="CheckBox" fmlaLink="Values!$F$34" lockText="1" noThreeD="1"/>
</file>

<file path=xl/ctrlProps/ctrlProp28.xml><?xml version="1.0" encoding="utf-8"?>
<formControlPr xmlns="http://schemas.microsoft.com/office/spreadsheetml/2009/9/main" objectType="CheckBox" fmlaLink="Values!$F$35" lockText="1" noThreeD="1"/>
</file>

<file path=xl/ctrlProps/ctrlProp29.xml><?xml version="1.0" encoding="utf-8"?>
<formControlPr xmlns="http://schemas.microsoft.com/office/spreadsheetml/2009/9/main" objectType="CheckBox" fmlaLink="Values!$F$36" lockText="1" noThreeD="1"/>
</file>

<file path=xl/ctrlProps/ctrlProp30.xml><?xml version="1.0" encoding="utf-8"?>
<formControlPr xmlns="http://schemas.microsoft.com/office/spreadsheetml/2009/9/main" objectType="CheckBox" fmlaLink="Values!$F$37" lockText="1" noThreeD="1"/>
</file>

<file path=xl/ctrlProps/ctrlProp31.xml><?xml version="1.0" encoding="utf-8"?>
<formControlPr xmlns="http://schemas.microsoft.com/office/spreadsheetml/2009/9/main" objectType="CheckBox" fmlaLink="Values!$F$38" lockText="1" noThreeD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171450</xdr:rowOff>
        </xdr:from>
        <xdr:to>
          <xdr:col>7</xdr:col>
          <xdr:colOff>285750</xdr:colOff>
          <xdr:row>10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9</xdr:row>
          <xdr:rowOff>171450</xdr:rowOff>
        </xdr:from>
        <xdr:to>
          <xdr:col>7</xdr:col>
          <xdr:colOff>285750</xdr:colOff>
          <xdr:row>11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10</xdr:row>
          <xdr:rowOff>171450</xdr:rowOff>
        </xdr:from>
        <xdr:to>
          <xdr:col>7</xdr:col>
          <xdr:colOff>285750</xdr:colOff>
          <xdr:row>12</xdr:row>
          <xdr:rowOff>9525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11</xdr:row>
          <xdr:rowOff>171450</xdr:rowOff>
        </xdr:from>
        <xdr:to>
          <xdr:col>7</xdr:col>
          <xdr:colOff>285750</xdr:colOff>
          <xdr:row>13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12</xdr:row>
          <xdr:rowOff>171450</xdr:rowOff>
        </xdr:from>
        <xdr:to>
          <xdr:col>7</xdr:col>
          <xdr:colOff>285750</xdr:colOff>
          <xdr:row>14</xdr:row>
          <xdr:rowOff>9525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13</xdr:row>
          <xdr:rowOff>171450</xdr:rowOff>
        </xdr:from>
        <xdr:to>
          <xdr:col>7</xdr:col>
          <xdr:colOff>285750</xdr:colOff>
          <xdr:row>15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</xdr:row>
          <xdr:rowOff>171450</xdr:rowOff>
        </xdr:from>
        <xdr:to>
          <xdr:col>7</xdr:col>
          <xdr:colOff>285750</xdr:colOff>
          <xdr:row>16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</xdr:row>
          <xdr:rowOff>171450</xdr:rowOff>
        </xdr:from>
        <xdr:to>
          <xdr:col>7</xdr:col>
          <xdr:colOff>285750</xdr:colOff>
          <xdr:row>17</xdr:row>
          <xdr:rowOff>9525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16</xdr:row>
          <xdr:rowOff>171450</xdr:rowOff>
        </xdr:from>
        <xdr:to>
          <xdr:col>7</xdr:col>
          <xdr:colOff>285750</xdr:colOff>
          <xdr:row>18</xdr:row>
          <xdr:rowOff>9525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18</xdr:row>
          <xdr:rowOff>171450</xdr:rowOff>
        </xdr:from>
        <xdr:to>
          <xdr:col>7</xdr:col>
          <xdr:colOff>285750</xdr:colOff>
          <xdr:row>20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17</xdr:row>
          <xdr:rowOff>171450</xdr:rowOff>
        </xdr:from>
        <xdr:to>
          <xdr:col>7</xdr:col>
          <xdr:colOff>285750</xdr:colOff>
          <xdr:row>19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19</xdr:row>
          <xdr:rowOff>171450</xdr:rowOff>
        </xdr:from>
        <xdr:to>
          <xdr:col>7</xdr:col>
          <xdr:colOff>285750</xdr:colOff>
          <xdr:row>21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</xdr:row>
          <xdr:rowOff>171450</xdr:rowOff>
        </xdr:from>
        <xdr:to>
          <xdr:col>7</xdr:col>
          <xdr:colOff>285750</xdr:colOff>
          <xdr:row>22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21</xdr:row>
          <xdr:rowOff>171450</xdr:rowOff>
        </xdr:from>
        <xdr:to>
          <xdr:col>7</xdr:col>
          <xdr:colOff>285750</xdr:colOff>
          <xdr:row>23</xdr:row>
          <xdr:rowOff>9525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22</xdr:row>
          <xdr:rowOff>171450</xdr:rowOff>
        </xdr:from>
        <xdr:to>
          <xdr:col>7</xdr:col>
          <xdr:colOff>285750</xdr:colOff>
          <xdr:row>24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23</xdr:row>
          <xdr:rowOff>171450</xdr:rowOff>
        </xdr:from>
        <xdr:to>
          <xdr:col>7</xdr:col>
          <xdr:colOff>285750</xdr:colOff>
          <xdr:row>25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24</xdr:row>
          <xdr:rowOff>171450</xdr:rowOff>
        </xdr:from>
        <xdr:to>
          <xdr:col>7</xdr:col>
          <xdr:colOff>285750</xdr:colOff>
          <xdr:row>26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25</xdr:row>
          <xdr:rowOff>171450</xdr:rowOff>
        </xdr:from>
        <xdr:to>
          <xdr:col>7</xdr:col>
          <xdr:colOff>285750</xdr:colOff>
          <xdr:row>27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26</xdr:row>
          <xdr:rowOff>171450</xdr:rowOff>
        </xdr:from>
        <xdr:to>
          <xdr:col>7</xdr:col>
          <xdr:colOff>285750</xdr:colOff>
          <xdr:row>28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27</xdr:row>
          <xdr:rowOff>171450</xdr:rowOff>
        </xdr:from>
        <xdr:to>
          <xdr:col>7</xdr:col>
          <xdr:colOff>285750</xdr:colOff>
          <xdr:row>29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28</xdr:row>
          <xdr:rowOff>171450</xdr:rowOff>
        </xdr:from>
        <xdr:to>
          <xdr:col>7</xdr:col>
          <xdr:colOff>285750</xdr:colOff>
          <xdr:row>30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29</xdr:row>
          <xdr:rowOff>171450</xdr:rowOff>
        </xdr:from>
        <xdr:to>
          <xdr:col>7</xdr:col>
          <xdr:colOff>285750</xdr:colOff>
          <xdr:row>31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30</xdr:row>
          <xdr:rowOff>171450</xdr:rowOff>
        </xdr:from>
        <xdr:to>
          <xdr:col>7</xdr:col>
          <xdr:colOff>285750</xdr:colOff>
          <xdr:row>32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31</xdr:row>
          <xdr:rowOff>171450</xdr:rowOff>
        </xdr:from>
        <xdr:to>
          <xdr:col>7</xdr:col>
          <xdr:colOff>285750</xdr:colOff>
          <xdr:row>33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32</xdr:row>
          <xdr:rowOff>171450</xdr:rowOff>
        </xdr:from>
        <xdr:to>
          <xdr:col>7</xdr:col>
          <xdr:colOff>285750</xdr:colOff>
          <xdr:row>34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</xdr:row>
          <xdr:rowOff>171450</xdr:rowOff>
        </xdr:from>
        <xdr:to>
          <xdr:col>7</xdr:col>
          <xdr:colOff>285750</xdr:colOff>
          <xdr:row>35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34</xdr:row>
          <xdr:rowOff>171450</xdr:rowOff>
        </xdr:from>
        <xdr:to>
          <xdr:col>7</xdr:col>
          <xdr:colOff>285750</xdr:colOff>
          <xdr:row>36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35</xdr:row>
          <xdr:rowOff>171450</xdr:rowOff>
        </xdr:from>
        <xdr:to>
          <xdr:col>7</xdr:col>
          <xdr:colOff>285750</xdr:colOff>
          <xdr:row>37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36</xdr:row>
          <xdr:rowOff>171450</xdr:rowOff>
        </xdr:from>
        <xdr:to>
          <xdr:col>7</xdr:col>
          <xdr:colOff>285750</xdr:colOff>
          <xdr:row>38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37</xdr:row>
          <xdr:rowOff>171450</xdr:rowOff>
        </xdr:from>
        <xdr:to>
          <xdr:col>7</xdr:col>
          <xdr:colOff>285750</xdr:colOff>
          <xdr:row>39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38</xdr:row>
          <xdr:rowOff>171450</xdr:rowOff>
        </xdr:from>
        <xdr:to>
          <xdr:col>7</xdr:col>
          <xdr:colOff>285750</xdr:colOff>
          <xdr:row>40</xdr:row>
          <xdr:rowOff>9525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266700</xdr:rowOff>
        </xdr:from>
        <xdr:to>
          <xdr:col>11</xdr:col>
          <xdr:colOff>95250</xdr:colOff>
          <xdr:row>3</xdr:row>
          <xdr:rowOff>142875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FF0000"/>
                  </a:solidFill>
                  <a:latin typeface="Trebuchet MS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493058</xdr:colOff>
      <xdr:row>0</xdr:row>
      <xdr:rowOff>0</xdr:rowOff>
    </xdr:from>
    <xdr:to>
      <xdr:col>16</xdr:col>
      <xdr:colOff>750186</xdr:colOff>
      <xdr:row>0</xdr:row>
      <xdr:rowOff>460374</xdr:rowOff>
    </xdr:to>
    <xdr:pic>
      <xdr:nvPicPr>
        <xdr:cNvPr id="3" name="Picture 2" descr="First Bus | Bus Tickets, Timetables &amp; Journey Planning | First Bus">
          <a:extLst>
            <a:ext uri="{FF2B5EF4-FFF2-40B4-BE49-F238E27FC236}">
              <a16:creationId xmlns:a16="http://schemas.microsoft.com/office/drawing/2014/main" id="{5D3839B9-C128-4232-8614-38BF2F222D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6029" y="0"/>
          <a:ext cx="1691481" cy="460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291353</xdr:colOff>
      <xdr:row>0</xdr:row>
      <xdr:rowOff>56029</xdr:rowOff>
    </xdr:from>
    <xdr:to>
      <xdr:col>11</xdr:col>
      <xdr:colOff>515471</xdr:colOff>
      <xdr:row>0</xdr:row>
      <xdr:rowOff>459441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468F285-4706-8D6D-7379-94D4319699AA}"/>
            </a:ext>
          </a:extLst>
        </xdr:cNvPr>
        <xdr:cNvSpPr txBox="1"/>
      </xdr:nvSpPr>
      <xdr:spPr>
        <a:xfrm>
          <a:off x="2017059" y="56029"/>
          <a:ext cx="4022912" cy="4034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FIRST</a:t>
          </a:r>
          <a:r>
            <a:rPr lang="en-GB" sz="1100" baseline="0"/>
            <a:t> BUS TIME SHEET </a:t>
          </a:r>
          <a:endParaRPr lang="en-GB" sz="1100"/>
        </a:p>
      </xdr:txBody>
    </xdr:sp>
    <xdr:clientData/>
  </xdr:twoCellAnchor>
  <xdr:twoCellAnchor editAs="oneCell">
    <xdr:from>
      <xdr:col>4</xdr:col>
      <xdr:colOff>291353</xdr:colOff>
      <xdr:row>0</xdr:row>
      <xdr:rowOff>56030</xdr:rowOff>
    </xdr:from>
    <xdr:to>
      <xdr:col>13</xdr:col>
      <xdr:colOff>302559</xdr:colOff>
      <xdr:row>0</xdr:row>
      <xdr:rowOff>481853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441CDA3-B578-1993-A795-59CC4870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7059" y="56030"/>
          <a:ext cx="4885765" cy="4258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4525-89CE-4416-B456-912382106D17}">
  <sheetPr codeName="Sheet1">
    <tabColor indexed="52"/>
  </sheetPr>
  <dimension ref="A1:WWD52"/>
  <sheetViews>
    <sheetView showGridLines="0" showZeros="0" tabSelected="1" zoomScale="85" zoomScaleNormal="85" zoomScaleSheetLayoutView="115" workbookViewId="0">
      <selection activeCell="B47" sqref="B47:L47"/>
    </sheetView>
  </sheetViews>
  <sheetFormatPr defaultColWidth="0" defaultRowHeight="0" customHeight="1" zeroHeight="1" x14ac:dyDescent="0.2"/>
  <cols>
    <col min="1" max="1" width="1.7109375" style="5" customWidth="1"/>
    <col min="2" max="2" width="8" style="95" customWidth="1"/>
    <col min="3" max="4" width="8" style="5" customWidth="1"/>
    <col min="5" max="5" width="8.7109375" style="6" customWidth="1"/>
    <col min="6" max="6" width="9.28515625" style="6" customWidth="1"/>
    <col min="7" max="7" width="6.5703125" style="6" customWidth="1"/>
    <col min="8" max="8" width="5.5703125" style="5" customWidth="1"/>
    <col min="9" max="9" width="10.7109375" style="5" customWidth="1"/>
    <col min="10" max="11" width="8" style="5" customWidth="1"/>
    <col min="12" max="12" width="8" style="94" customWidth="1"/>
    <col min="13" max="13" width="8" style="5" customWidth="1"/>
    <col min="14" max="14" width="8.7109375" style="5" customWidth="1"/>
    <col min="15" max="15" width="11.7109375" style="5" customWidth="1"/>
    <col min="16" max="16" width="9.7109375" style="5" customWidth="1"/>
    <col min="17" max="17" width="11.7109375" style="5" customWidth="1"/>
    <col min="18" max="18" width="1.7109375" style="6" customWidth="1"/>
    <col min="19" max="19" width="18.28515625" style="5" hidden="1"/>
    <col min="20" max="22" width="12.7109375" style="5" hidden="1"/>
    <col min="23" max="259" width="9.140625" style="5" hidden="1"/>
    <col min="260" max="260" width="6" style="5" hidden="1"/>
    <col min="261" max="261" width="5.140625" style="5" hidden="1"/>
    <col min="262" max="262" width="12" style="5" hidden="1"/>
    <col min="263" max="264" width="7.42578125" style="5" hidden="1"/>
    <col min="265" max="265" width="7.28515625" style="5" hidden="1"/>
    <col min="266" max="266" width="3.140625" style="5" hidden="1"/>
    <col min="267" max="268" width="6.7109375" style="5" hidden="1"/>
    <col min="269" max="269" width="8.42578125" style="5" hidden="1"/>
    <col min="270" max="270" width="6.140625" style="5" hidden="1"/>
    <col min="271" max="273" width="10.5703125" style="5" hidden="1"/>
    <col min="274" max="274" width="2.28515625" style="5" hidden="1"/>
    <col min="275" max="275" width="18.28515625" style="5" hidden="1"/>
    <col min="276" max="278" width="12.7109375" style="5" hidden="1"/>
    <col min="279" max="515" width="9.140625" style="5" hidden="1"/>
    <col min="516" max="516" width="6" style="5" hidden="1"/>
    <col min="517" max="517" width="5.140625" style="5" hidden="1"/>
    <col min="518" max="518" width="12" style="5" hidden="1"/>
    <col min="519" max="520" width="7.42578125" style="5" hidden="1"/>
    <col min="521" max="521" width="7.28515625" style="5" hidden="1"/>
    <col min="522" max="522" width="3.140625" style="5" hidden="1"/>
    <col min="523" max="524" width="6.7109375" style="5" hidden="1"/>
    <col min="525" max="525" width="8.42578125" style="5" hidden="1"/>
    <col min="526" max="526" width="6.140625" style="5" hidden="1"/>
    <col min="527" max="529" width="10.5703125" style="5" hidden="1"/>
    <col min="530" max="530" width="2.28515625" style="5" hidden="1"/>
    <col min="531" max="531" width="18.28515625" style="5" hidden="1"/>
    <col min="532" max="534" width="12.7109375" style="5" hidden="1"/>
    <col min="535" max="771" width="9.140625" style="5" hidden="1"/>
    <col min="772" max="772" width="6" style="5" hidden="1"/>
    <col min="773" max="773" width="5.140625" style="5" hidden="1"/>
    <col min="774" max="774" width="12" style="5" hidden="1"/>
    <col min="775" max="776" width="7.42578125" style="5" hidden="1"/>
    <col min="777" max="777" width="7.28515625" style="5" hidden="1"/>
    <col min="778" max="778" width="3.140625" style="5" hidden="1"/>
    <col min="779" max="780" width="6.7109375" style="5" hidden="1"/>
    <col min="781" max="781" width="8.42578125" style="5" hidden="1"/>
    <col min="782" max="782" width="6.140625" style="5" hidden="1"/>
    <col min="783" max="785" width="10.5703125" style="5" hidden="1"/>
    <col min="786" max="786" width="2.28515625" style="5" hidden="1"/>
    <col min="787" max="787" width="18.28515625" style="5" hidden="1"/>
    <col min="788" max="790" width="12.7109375" style="5" hidden="1"/>
    <col min="791" max="1027" width="9.140625" style="5" hidden="1"/>
    <col min="1028" max="1028" width="6" style="5" hidden="1"/>
    <col min="1029" max="1029" width="5.140625" style="5" hidden="1"/>
    <col min="1030" max="1030" width="12" style="5" hidden="1"/>
    <col min="1031" max="1032" width="7.42578125" style="5" hidden="1"/>
    <col min="1033" max="1033" width="7.28515625" style="5" hidden="1"/>
    <col min="1034" max="1034" width="3.140625" style="5" hidden="1"/>
    <col min="1035" max="1036" width="6.7109375" style="5" hidden="1"/>
    <col min="1037" max="1037" width="8.42578125" style="5" hidden="1"/>
    <col min="1038" max="1038" width="6.140625" style="5" hidden="1"/>
    <col min="1039" max="1041" width="10.5703125" style="5" hidden="1"/>
    <col min="1042" max="1042" width="2.28515625" style="5" hidden="1"/>
    <col min="1043" max="1043" width="18.28515625" style="5" hidden="1"/>
    <col min="1044" max="1046" width="12.7109375" style="5" hidden="1"/>
    <col min="1047" max="1283" width="9.140625" style="5" hidden="1"/>
    <col min="1284" max="1284" width="6" style="5" hidden="1"/>
    <col min="1285" max="1285" width="5.140625" style="5" hidden="1"/>
    <col min="1286" max="1286" width="12" style="5" hidden="1"/>
    <col min="1287" max="1288" width="7.42578125" style="5" hidden="1"/>
    <col min="1289" max="1289" width="7.28515625" style="5" hidden="1"/>
    <col min="1290" max="1290" width="3.140625" style="5" hidden="1"/>
    <col min="1291" max="1292" width="6.7109375" style="5" hidden="1"/>
    <col min="1293" max="1293" width="8.42578125" style="5" hidden="1"/>
    <col min="1294" max="1294" width="6.140625" style="5" hidden="1"/>
    <col min="1295" max="1297" width="10.5703125" style="5" hidden="1"/>
    <col min="1298" max="1298" width="2.28515625" style="5" hidden="1"/>
    <col min="1299" max="1299" width="18.28515625" style="5" hidden="1"/>
    <col min="1300" max="1302" width="12.7109375" style="5" hidden="1"/>
    <col min="1303" max="1539" width="9.140625" style="5" hidden="1"/>
    <col min="1540" max="1540" width="6" style="5" hidden="1"/>
    <col min="1541" max="1541" width="5.140625" style="5" hidden="1"/>
    <col min="1542" max="1542" width="12" style="5" hidden="1"/>
    <col min="1543" max="1544" width="7.42578125" style="5" hidden="1"/>
    <col min="1545" max="1545" width="7.28515625" style="5" hidden="1"/>
    <col min="1546" max="1546" width="3.140625" style="5" hidden="1"/>
    <col min="1547" max="1548" width="6.7109375" style="5" hidden="1"/>
    <col min="1549" max="1549" width="8.42578125" style="5" hidden="1"/>
    <col min="1550" max="1550" width="6.140625" style="5" hidden="1"/>
    <col min="1551" max="1553" width="10.5703125" style="5" hidden="1"/>
    <col min="1554" max="1554" width="2.28515625" style="5" hidden="1"/>
    <col min="1555" max="1555" width="18.28515625" style="5" hidden="1"/>
    <col min="1556" max="1558" width="12.7109375" style="5" hidden="1"/>
    <col min="1559" max="1795" width="9.140625" style="5" hidden="1"/>
    <col min="1796" max="1796" width="6" style="5" hidden="1"/>
    <col min="1797" max="1797" width="5.140625" style="5" hidden="1"/>
    <col min="1798" max="1798" width="12" style="5" hidden="1"/>
    <col min="1799" max="1800" width="7.42578125" style="5" hidden="1"/>
    <col min="1801" max="1801" width="7.28515625" style="5" hidden="1"/>
    <col min="1802" max="1802" width="3.140625" style="5" hidden="1"/>
    <col min="1803" max="1804" width="6.7109375" style="5" hidden="1"/>
    <col min="1805" max="1805" width="8.42578125" style="5" hidden="1"/>
    <col min="1806" max="1806" width="6.140625" style="5" hidden="1"/>
    <col min="1807" max="1809" width="10.5703125" style="5" hidden="1"/>
    <col min="1810" max="1810" width="2.28515625" style="5" hidden="1"/>
    <col min="1811" max="1811" width="18.28515625" style="5" hidden="1"/>
    <col min="1812" max="1814" width="12.7109375" style="5" hidden="1"/>
    <col min="1815" max="2051" width="9.140625" style="5" hidden="1"/>
    <col min="2052" max="2052" width="6" style="5" hidden="1"/>
    <col min="2053" max="2053" width="5.140625" style="5" hidden="1"/>
    <col min="2054" max="2054" width="12" style="5" hidden="1"/>
    <col min="2055" max="2056" width="7.42578125" style="5" hidden="1"/>
    <col min="2057" max="2057" width="7.28515625" style="5" hidden="1"/>
    <col min="2058" max="2058" width="3.140625" style="5" hidden="1"/>
    <col min="2059" max="2060" width="6.7109375" style="5" hidden="1"/>
    <col min="2061" max="2061" width="8.42578125" style="5" hidden="1"/>
    <col min="2062" max="2062" width="6.140625" style="5" hidden="1"/>
    <col min="2063" max="2065" width="10.5703125" style="5" hidden="1"/>
    <col min="2066" max="2066" width="2.28515625" style="5" hidden="1"/>
    <col min="2067" max="2067" width="18.28515625" style="5" hidden="1"/>
    <col min="2068" max="2070" width="12.7109375" style="5" hidden="1"/>
    <col min="2071" max="2307" width="9.140625" style="5" hidden="1"/>
    <col min="2308" max="2308" width="6" style="5" hidden="1"/>
    <col min="2309" max="2309" width="5.140625" style="5" hidden="1"/>
    <col min="2310" max="2310" width="12" style="5" hidden="1"/>
    <col min="2311" max="2312" width="7.42578125" style="5" hidden="1"/>
    <col min="2313" max="2313" width="7.28515625" style="5" hidden="1"/>
    <col min="2314" max="2314" width="3.140625" style="5" hidden="1"/>
    <col min="2315" max="2316" width="6.7109375" style="5" hidden="1"/>
    <col min="2317" max="2317" width="8.42578125" style="5" hidden="1"/>
    <col min="2318" max="2318" width="6.140625" style="5" hidden="1"/>
    <col min="2319" max="2321" width="10.5703125" style="5" hidden="1"/>
    <col min="2322" max="2322" width="2.28515625" style="5" hidden="1"/>
    <col min="2323" max="2323" width="18.28515625" style="5" hidden="1"/>
    <col min="2324" max="2326" width="12.7109375" style="5" hidden="1"/>
    <col min="2327" max="2563" width="9.140625" style="5" hidden="1"/>
    <col min="2564" max="2564" width="6" style="5" hidden="1"/>
    <col min="2565" max="2565" width="5.140625" style="5" hidden="1"/>
    <col min="2566" max="2566" width="12" style="5" hidden="1"/>
    <col min="2567" max="2568" width="7.42578125" style="5" hidden="1"/>
    <col min="2569" max="2569" width="7.28515625" style="5" hidden="1"/>
    <col min="2570" max="2570" width="3.140625" style="5" hidden="1"/>
    <col min="2571" max="2572" width="6.7109375" style="5" hidden="1"/>
    <col min="2573" max="2573" width="8.42578125" style="5" hidden="1"/>
    <col min="2574" max="2574" width="6.140625" style="5" hidden="1"/>
    <col min="2575" max="2577" width="10.5703125" style="5" hidden="1"/>
    <col min="2578" max="2578" width="2.28515625" style="5" hidden="1"/>
    <col min="2579" max="2579" width="18.28515625" style="5" hidden="1"/>
    <col min="2580" max="2582" width="12.7109375" style="5" hidden="1"/>
    <col min="2583" max="2819" width="9.140625" style="5" hidden="1"/>
    <col min="2820" max="2820" width="6" style="5" hidden="1"/>
    <col min="2821" max="2821" width="5.140625" style="5" hidden="1"/>
    <col min="2822" max="2822" width="12" style="5" hidden="1"/>
    <col min="2823" max="2824" width="7.42578125" style="5" hidden="1"/>
    <col min="2825" max="2825" width="7.28515625" style="5" hidden="1"/>
    <col min="2826" max="2826" width="3.140625" style="5" hidden="1"/>
    <col min="2827" max="2828" width="6.7109375" style="5" hidden="1"/>
    <col min="2829" max="2829" width="8.42578125" style="5" hidden="1"/>
    <col min="2830" max="2830" width="6.140625" style="5" hidden="1"/>
    <col min="2831" max="2833" width="10.5703125" style="5" hidden="1"/>
    <col min="2834" max="2834" width="2.28515625" style="5" hidden="1"/>
    <col min="2835" max="2835" width="18.28515625" style="5" hidden="1"/>
    <col min="2836" max="2838" width="12.7109375" style="5" hidden="1"/>
    <col min="2839" max="3075" width="9.140625" style="5" hidden="1"/>
    <col min="3076" max="3076" width="6" style="5" hidden="1"/>
    <col min="3077" max="3077" width="5.140625" style="5" hidden="1"/>
    <col min="3078" max="3078" width="12" style="5" hidden="1"/>
    <col min="3079" max="3080" width="7.42578125" style="5" hidden="1"/>
    <col min="3081" max="3081" width="7.28515625" style="5" hidden="1"/>
    <col min="3082" max="3082" width="3.140625" style="5" hidden="1"/>
    <col min="3083" max="3084" width="6.7109375" style="5" hidden="1"/>
    <col min="3085" max="3085" width="8.42578125" style="5" hidden="1"/>
    <col min="3086" max="3086" width="6.140625" style="5" hidden="1"/>
    <col min="3087" max="3089" width="10.5703125" style="5" hidden="1"/>
    <col min="3090" max="3090" width="2.28515625" style="5" hidden="1"/>
    <col min="3091" max="3091" width="18.28515625" style="5" hidden="1"/>
    <col min="3092" max="3094" width="12.7109375" style="5" hidden="1"/>
    <col min="3095" max="3331" width="9.140625" style="5" hidden="1"/>
    <col min="3332" max="3332" width="6" style="5" hidden="1"/>
    <col min="3333" max="3333" width="5.140625" style="5" hidden="1"/>
    <col min="3334" max="3334" width="12" style="5" hidden="1"/>
    <col min="3335" max="3336" width="7.42578125" style="5" hidden="1"/>
    <col min="3337" max="3337" width="7.28515625" style="5" hidden="1"/>
    <col min="3338" max="3338" width="3.140625" style="5" hidden="1"/>
    <col min="3339" max="3340" width="6.7109375" style="5" hidden="1"/>
    <col min="3341" max="3341" width="8.42578125" style="5" hidden="1"/>
    <col min="3342" max="3342" width="6.140625" style="5" hidden="1"/>
    <col min="3343" max="3345" width="10.5703125" style="5" hidden="1"/>
    <col min="3346" max="3346" width="2.28515625" style="5" hidden="1"/>
    <col min="3347" max="3347" width="18.28515625" style="5" hidden="1"/>
    <col min="3348" max="3350" width="12.7109375" style="5" hidden="1"/>
    <col min="3351" max="3587" width="9.140625" style="5" hidden="1"/>
    <col min="3588" max="3588" width="6" style="5" hidden="1"/>
    <col min="3589" max="3589" width="5.140625" style="5" hidden="1"/>
    <col min="3590" max="3590" width="12" style="5" hidden="1"/>
    <col min="3591" max="3592" width="7.42578125" style="5" hidden="1"/>
    <col min="3593" max="3593" width="7.28515625" style="5" hidden="1"/>
    <col min="3594" max="3594" width="3.140625" style="5" hidden="1"/>
    <col min="3595" max="3596" width="6.7109375" style="5" hidden="1"/>
    <col min="3597" max="3597" width="8.42578125" style="5" hidden="1"/>
    <col min="3598" max="3598" width="6.140625" style="5" hidden="1"/>
    <col min="3599" max="3601" width="10.5703125" style="5" hidden="1"/>
    <col min="3602" max="3602" width="2.28515625" style="5" hidden="1"/>
    <col min="3603" max="3603" width="18.28515625" style="5" hidden="1"/>
    <col min="3604" max="3606" width="12.7109375" style="5" hidden="1"/>
    <col min="3607" max="3843" width="9.140625" style="5" hidden="1"/>
    <col min="3844" max="3844" width="6" style="5" hidden="1"/>
    <col min="3845" max="3845" width="5.140625" style="5" hidden="1"/>
    <col min="3846" max="3846" width="12" style="5" hidden="1"/>
    <col min="3847" max="3848" width="7.42578125" style="5" hidden="1"/>
    <col min="3849" max="3849" width="7.28515625" style="5" hidden="1"/>
    <col min="3850" max="3850" width="3.140625" style="5" hidden="1"/>
    <col min="3851" max="3852" width="6.7109375" style="5" hidden="1"/>
    <col min="3853" max="3853" width="8.42578125" style="5" hidden="1"/>
    <col min="3854" max="3854" width="6.140625" style="5" hidden="1"/>
    <col min="3855" max="3857" width="10.5703125" style="5" hidden="1"/>
    <col min="3858" max="3858" width="2.28515625" style="5" hidden="1"/>
    <col min="3859" max="3859" width="18.28515625" style="5" hidden="1"/>
    <col min="3860" max="3862" width="12.7109375" style="5" hidden="1"/>
    <col min="3863" max="4099" width="9.140625" style="5" hidden="1"/>
    <col min="4100" max="4100" width="6" style="5" hidden="1"/>
    <col min="4101" max="4101" width="5.140625" style="5" hidden="1"/>
    <col min="4102" max="4102" width="12" style="5" hidden="1"/>
    <col min="4103" max="4104" width="7.42578125" style="5" hidden="1"/>
    <col min="4105" max="4105" width="7.28515625" style="5" hidden="1"/>
    <col min="4106" max="4106" width="3.140625" style="5" hidden="1"/>
    <col min="4107" max="4108" width="6.7109375" style="5" hidden="1"/>
    <col min="4109" max="4109" width="8.42578125" style="5" hidden="1"/>
    <col min="4110" max="4110" width="6.140625" style="5" hidden="1"/>
    <col min="4111" max="4113" width="10.5703125" style="5" hidden="1"/>
    <col min="4114" max="4114" width="2.28515625" style="5" hidden="1"/>
    <col min="4115" max="4115" width="18.28515625" style="5" hidden="1"/>
    <col min="4116" max="4118" width="12.7109375" style="5" hidden="1"/>
    <col min="4119" max="4355" width="9.140625" style="5" hidden="1"/>
    <col min="4356" max="4356" width="6" style="5" hidden="1"/>
    <col min="4357" max="4357" width="5.140625" style="5" hidden="1"/>
    <col min="4358" max="4358" width="12" style="5" hidden="1"/>
    <col min="4359" max="4360" width="7.42578125" style="5" hidden="1"/>
    <col min="4361" max="4361" width="7.28515625" style="5" hidden="1"/>
    <col min="4362" max="4362" width="3.140625" style="5" hidden="1"/>
    <col min="4363" max="4364" width="6.7109375" style="5" hidden="1"/>
    <col min="4365" max="4365" width="8.42578125" style="5" hidden="1"/>
    <col min="4366" max="4366" width="6.140625" style="5" hidden="1"/>
    <col min="4367" max="4369" width="10.5703125" style="5" hidden="1"/>
    <col min="4370" max="4370" width="2.28515625" style="5" hidden="1"/>
    <col min="4371" max="4371" width="18.28515625" style="5" hidden="1"/>
    <col min="4372" max="4374" width="12.7109375" style="5" hidden="1"/>
    <col min="4375" max="4611" width="9.140625" style="5" hidden="1"/>
    <col min="4612" max="4612" width="6" style="5" hidden="1"/>
    <col min="4613" max="4613" width="5.140625" style="5" hidden="1"/>
    <col min="4614" max="4614" width="12" style="5" hidden="1"/>
    <col min="4615" max="4616" width="7.42578125" style="5" hidden="1"/>
    <col min="4617" max="4617" width="7.28515625" style="5" hidden="1"/>
    <col min="4618" max="4618" width="3.140625" style="5" hidden="1"/>
    <col min="4619" max="4620" width="6.7109375" style="5" hidden="1"/>
    <col min="4621" max="4621" width="8.42578125" style="5" hidden="1"/>
    <col min="4622" max="4622" width="6.140625" style="5" hidden="1"/>
    <col min="4623" max="4625" width="10.5703125" style="5" hidden="1"/>
    <col min="4626" max="4626" width="2.28515625" style="5" hidden="1"/>
    <col min="4627" max="4627" width="18.28515625" style="5" hidden="1"/>
    <col min="4628" max="4630" width="12.7109375" style="5" hidden="1"/>
    <col min="4631" max="4867" width="9.140625" style="5" hidden="1"/>
    <col min="4868" max="4868" width="6" style="5" hidden="1"/>
    <col min="4869" max="4869" width="5.140625" style="5" hidden="1"/>
    <col min="4870" max="4870" width="12" style="5" hidden="1"/>
    <col min="4871" max="4872" width="7.42578125" style="5" hidden="1"/>
    <col min="4873" max="4873" width="7.28515625" style="5" hidden="1"/>
    <col min="4874" max="4874" width="3.140625" style="5" hidden="1"/>
    <col min="4875" max="4876" width="6.7109375" style="5" hidden="1"/>
    <col min="4877" max="4877" width="8.42578125" style="5" hidden="1"/>
    <col min="4878" max="4878" width="6.140625" style="5" hidden="1"/>
    <col min="4879" max="4881" width="10.5703125" style="5" hidden="1"/>
    <col min="4882" max="4882" width="2.28515625" style="5" hidden="1"/>
    <col min="4883" max="4883" width="18.28515625" style="5" hidden="1"/>
    <col min="4884" max="4886" width="12.7109375" style="5" hidden="1"/>
    <col min="4887" max="5123" width="9.140625" style="5" hidden="1"/>
    <col min="5124" max="5124" width="6" style="5" hidden="1"/>
    <col min="5125" max="5125" width="5.140625" style="5" hidden="1"/>
    <col min="5126" max="5126" width="12" style="5" hidden="1"/>
    <col min="5127" max="5128" width="7.42578125" style="5" hidden="1"/>
    <col min="5129" max="5129" width="7.28515625" style="5" hidden="1"/>
    <col min="5130" max="5130" width="3.140625" style="5" hidden="1"/>
    <col min="5131" max="5132" width="6.7109375" style="5" hidden="1"/>
    <col min="5133" max="5133" width="8.42578125" style="5" hidden="1"/>
    <col min="5134" max="5134" width="6.140625" style="5" hidden="1"/>
    <col min="5135" max="5137" width="10.5703125" style="5" hidden="1"/>
    <col min="5138" max="5138" width="2.28515625" style="5" hidden="1"/>
    <col min="5139" max="5139" width="18.28515625" style="5" hidden="1"/>
    <col min="5140" max="5142" width="12.7109375" style="5" hidden="1"/>
    <col min="5143" max="5379" width="9.140625" style="5" hidden="1"/>
    <col min="5380" max="5380" width="6" style="5" hidden="1"/>
    <col min="5381" max="5381" width="5.140625" style="5" hidden="1"/>
    <col min="5382" max="5382" width="12" style="5" hidden="1"/>
    <col min="5383" max="5384" width="7.42578125" style="5" hidden="1"/>
    <col min="5385" max="5385" width="7.28515625" style="5" hidden="1"/>
    <col min="5386" max="5386" width="3.140625" style="5" hidden="1"/>
    <col min="5387" max="5388" width="6.7109375" style="5" hidden="1"/>
    <col min="5389" max="5389" width="8.42578125" style="5" hidden="1"/>
    <col min="5390" max="5390" width="6.140625" style="5" hidden="1"/>
    <col min="5391" max="5393" width="10.5703125" style="5" hidden="1"/>
    <col min="5394" max="5394" width="2.28515625" style="5" hidden="1"/>
    <col min="5395" max="5395" width="18.28515625" style="5" hidden="1"/>
    <col min="5396" max="5398" width="12.7109375" style="5" hidden="1"/>
    <col min="5399" max="5635" width="9.140625" style="5" hidden="1"/>
    <col min="5636" max="5636" width="6" style="5" hidden="1"/>
    <col min="5637" max="5637" width="5.140625" style="5" hidden="1"/>
    <col min="5638" max="5638" width="12" style="5" hidden="1"/>
    <col min="5639" max="5640" width="7.42578125" style="5" hidden="1"/>
    <col min="5641" max="5641" width="7.28515625" style="5" hidden="1"/>
    <col min="5642" max="5642" width="3.140625" style="5" hidden="1"/>
    <col min="5643" max="5644" width="6.7109375" style="5" hidden="1"/>
    <col min="5645" max="5645" width="8.42578125" style="5" hidden="1"/>
    <col min="5646" max="5646" width="6.140625" style="5" hidden="1"/>
    <col min="5647" max="5649" width="10.5703125" style="5" hidden="1"/>
    <col min="5650" max="5650" width="2.28515625" style="5" hidden="1"/>
    <col min="5651" max="5651" width="18.28515625" style="5" hidden="1"/>
    <col min="5652" max="5654" width="12.7109375" style="5" hidden="1"/>
    <col min="5655" max="5891" width="9.140625" style="5" hidden="1"/>
    <col min="5892" max="5892" width="6" style="5" hidden="1"/>
    <col min="5893" max="5893" width="5.140625" style="5" hidden="1"/>
    <col min="5894" max="5894" width="12" style="5" hidden="1"/>
    <col min="5895" max="5896" width="7.42578125" style="5" hidden="1"/>
    <col min="5897" max="5897" width="7.28515625" style="5" hidden="1"/>
    <col min="5898" max="5898" width="3.140625" style="5" hidden="1"/>
    <col min="5899" max="5900" width="6.7109375" style="5" hidden="1"/>
    <col min="5901" max="5901" width="8.42578125" style="5" hidden="1"/>
    <col min="5902" max="5902" width="6.140625" style="5" hidden="1"/>
    <col min="5903" max="5905" width="10.5703125" style="5" hidden="1"/>
    <col min="5906" max="5906" width="2.28515625" style="5" hidden="1"/>
    <col min="5907" max="5907" width="18.28515625" style="5" hidden="1"/>
    <col min="5908" max="5910" width="12.7109375" style="5" hidden="1"/>
    <col min="5911" max="6147" width="9.140625" style="5" hidden="1"/>
    <col min="6148" max="6148" width="6" style="5" hidden="1"/>
    <col min="6149" max="6149" width="5.140625" style="5" hidden="1"/>
    <col min="6150" max="6150" width="12" style="5" hidden="1"/>
    <col min="6151" max="6152" width="7.42578125" style="5" hidden="1"/>
    <col min="6153" max="6153" width="7.28515625" style="5" hidden="1"/>
    <col min="6154" max="6154" width="3.140625" style="5" hidden="1"/>
    <col min="6155" max="6156" width="6.7109375" style="5" hidden="1"/>
    <col min="6157" max="6157" width="8.42578125" style="5" hidden="1"/>
    <col min="6158" max="6158" width="6.140625" style="5" hidden="1"/>
    <col min="6159" max="6161" width="10.5703125" style="5" hidden="1"/>
    <col min="6162" max="6162" width="2.28515625" style="5" hidden="1"/>
    <col min="6163" max="6163" width="18.28515625" style="5" hidden="1"/>
    <col min="6164" max="6166" width="12.7109375" style="5" hidden="1"/>
    <col min="6167" max="6403" width="9.140625" style="5" hidden="1"/>
    <col min="6404" max="6404" width="6" style="5" hidden="1"/>
    <col min="6405" max="6405" width="5.140625" style="5" hidden="1"/>
    <col min="6406" max="6406" width="12" style="5" hidden="1"/>
    <col min="6407" max="6408" width="7.42578125" style="5" hidden="1"/>
    <col min="6409" max="6409" width="7.28515625" style="5" hidden="1"/>
    <col min="6410" max="6410" width="3.140625" style="5" hidden="1"/>
    <col min="6411" max="6412" width="6.7109375" style="5" hidden="1"/>
    <col min="6413" max="6413" width="8.42578125" style="5" hidden="1"/>
    <col min="6414" max="6414" width="6.140625" style="5" hidden="1"/>
    <col min="6415" max="6417" width="10.5703125" style="5" hidden="1"/>
    <col min="6418" max="6418" width="2.28515625" style="5" hidden="1"/>
    <col min="6419" max="6419" width="18.28515625" style="5" hidden="1"/>
    <col min="6420" max="6422" width="12.7109375" style="5" hidden="1"/>
    <col min="6423" max="6659" width="9.140625" style="5" hidden="1"/>
    <col min="6660" max="6660" width="6" style="5" hidden="1"/>
    <col min="6661" max="6661" width="5.140625" style="5" hidden="1"/>
    <col min="6662" max="6662" width="12" style="5" hidden="1"/>
    <col min="6663" max="6664" width="7.42578125" style="5" hidden="1"/>
    <col min="6665" max="6665" width="7.28515625" style="5" hidden="1"/>
    <col min="6666" max="6666" width="3.140625" style="5" hidden="1"/>
    <col min="6667" max="6668" width="6.7109375" style="5" hidden="1"/>
    <col min="6669" max="6669" width="8.42578125" style="5" hidden="1"/>
    <col min="6670" max="6670" width="6.140625" style="5" hidden="1"/>
    <col min="6671" max="6673" width="10.5703125" style="5" hidden="1"/>
    <col min="6674" max="6674" width="2.28515625" style="5" hidden="1"/>
    <col min="6675" max="6675" width="18.28515625" style="5" hidden="1"/>
    <col min="6676" max="6678" width="12.7109375" style="5" hidden="1"/>
    <col min="6679" max="6915" width="9.140625" style="5" hidden="1"/>
    <col min="6916" max="6916" width="6" style="5" hidden="1"/>
    <col min="6917" max="6917" width="5.140625" style="5" hidden="1"/>
    <col min="6918" max="6918" width="12" style="5" hidden="1"/>
    <col min="6919" max="6920" width="7.42578125" style="5" hidden="1"/>
    <col min="6921" max="6921" width="7.28515625" style="5" hidden="1"/>
    <col min="6922" max="6922" width="3.140625" style="5" hidden="1"/>
    <col min="6923" max="6924" width="6.7109375" style="5" hidden="1"/>
    <col min="6925" max="6925" width="8.42578125" style="5" hidden="1"/>
    <col min="6926" max="6926" width="6.140625" style="5" hidden="1"/>
    <col min="6927" max="6929" width="10.5703125" style="5" hidden="1"/>
    <col min="6930" max="6930" width="2.28515625" style="5" hidden="1"/>
    <col min="6931" max="6931" width="18.28515625" style="5" hidden="1"/>
    <col min="6932" max="6934" width="12.7109375" style="5" hidden="1"/>
    <col min="6935" max="7171" width="9.140625" style="5" hidden="1"/>
    <col min="7172" max="7172" width="6" style="5" hidden="1"/>
    <col min="7173" max="7173" width="5.140625" style="5" hidden="1"/>
    <col min="7174" max="7174" width="12" style="5" hidden="1"/>
    <col min="7175" max="7176" width="7.42578125" style="5" hidden="1"/>
    <col min="7177" max="7177" width="7.28515625" style="5" hidden="1"/>
    <col min="7178" max="7178" width="3.140625" style="5" hidden="1"/>
    <col min="7179" max="7180" width="6.7109375" style="5" hidden="1"/>
    <col min="7181" max="7181" width="8.42578125" style="5" hidden="1"/>
    <col min="7182" max="7182" width="6.140625" style="5" hidden="1"/>
    <col min="7183" max="7185" width="10.5703125" style="5" hidden="1"/>
    <col min="7186" max="7186" width="2.28515625" style="5" hidden="1"/>
    <col min="7187" max="7187" width="18.28515625" style="5" hidden="1"/>
    <col min="7188" max="7190" width="12.7109375" style="5" hidden="1"/>
    <col min="7191" max="7427" width="9.140625" style="5" hidden="1"/>
    <col min="7428" max="7428" width="6" style="5" hidden="1"/>
    <col min="7429" max="7429" width="5.140625" style="5" hidden="1"/>
    <col min="7430" max="7430" width="12" style="5" hidden="1"/>
    <col min="7431" max="7432" width="7.42578125" style="5" hidden="1"/>
    <col min="7433" max="7433" width="7.28515625" style="5" hidden="1"/>
    <col min="7434" max="7434" width="3.140625" style="5" hidden="1"/>
    <col min="7435" max="7436" width="6.7109375" style="5" hidden="1"/>
    <col min="7437" max="7437" width="8.42578125" style="5" hidden="1"/>
    <col min="7438" max="7438" width="6.140625" style="5" hidden="1"/>
    <col min="7439" max="7441" width="10.5703125" style="5" hidden="1"/>
    <col min="7442" max="7442" width="2.28515625" style="5" hidden="1"/>
    <col min="7443" max="7443" width="18.28515625" style="5" hidden="1"/>
    <col min="7444" max="7446" width="12.7109375" style="5" hidden="1"/>
    <col min="7447" max="7683" width="9.140625" style="5" hidden="1"/>
    <col min="7684" max="7684" width="6" style="5" hidden="1"/>
    <col min="7685" max="7685" width="5.140625" style="5" hidden="1"/>
    <col min="7686" max="7686" width="12" style="5" hidden="1"/>
    <col min="7687" max="7688" width="7.42578125" style="5" hidden="1"/>
    <col min="7689" max="7689" width="7.28515625" style="5" hidden="1"/>
    <col min="7690" max="7690" width="3.140625" style="5" hidden="1"/>
    <col min="7691" max="7692" width="6.7109375" style="5" hidden="1"/>
    <col min="7693" max="7693" width="8.42578125" style="5" hidden="1"/>
    <col min="7694" max="7694" width="6.140625" style="5" hidden="1"/>
    <col min="7695" max="7697" width="10.5703125" style="5" hidden="1"/>
    <col min="7698" max="7698" width="2.28515625" style="5" hidden="1"/>
    <col min="7699" max="7699" width="18.28515625" style="5" hidden="1"/>
    <col min="7700" max="7702" width="12.7109375" style="5" hidden="1"/>
    <col min="7703" max="7939" width="9.140625" style="5" hidden="1"/>
    <col min="7940" max="7940" width="6" style="5" hidden="1"/>
    <col min="7941" max="7941" width="5.140625" style="5" hidden="1"/>
    <col min="7942" max="7942" width="12" style="5" hidden="1"/>
    <col min="7943" max="7944" width="7.42578125" style="5" hidden="1"/>
    <col min="7945" max="7945" width="7.28515625" style="5" hidden="1"/>
    <col min="7946" max="7946" width="3.140625" style="5" hidden="1"/>
    <col min="7947" max="7948" width="6.7109375" style="5" hidden="1"/>
    <col min="7949" max="7949" width="8.42578125" style="5" hidden="1"/>
    <col min="7950" max="7950" width="6.140625" style="5" hidden="1"/>
    <col min="7951" max="7953" width="10.5703125" style="5" hidden="1"/>
    <col min="7954" max="7954" width="2.28515625" style="5" hidden="1"/>
    <col min="7955" max="7955" width="18.28515625" style="5" hidden="1"/>
    <col min="7956" max="7958" width="12.7109375" style="5" hidden="1"/>
    <col min="7959" max="8195" width="9.140625" style="5" hidden="1"/>
    <col min="8196" max="8196" width="6" style="5" hidden="1"/>
    <col min="8197" max="8197" width="5.140625" style="5" hidden="1"/>
    <col min="8198" max="8198" width="12" style="5" hidden="1"/>
    <col min="8199" max="8200" width="7.42578125" style="5" hidden="1"/>
    <col min="8201" max="8201" width="7.28515625" style="5" hidden="1"/>
    <col min="8202" max="8202" width="3.140625" style="5" hidden="1"/>
    <col min="8203" max="8204" width="6.7109375" style="5" hidden="1"/>
    <col min="8205" max="8205" width="8.42578125" style="5" hidden="1"/>
    <col min="8206" max="8206" width="6.140625" style="5" hidden="1"/>
    <col min="8207" max="8209" width="10.5703125" style="5" hidden="1"/>
    <col min="8210" max="8210" width="2.28515625" style="5" hidden="1"/>
    <col min="8211" max="8211" width="18.28515625" style="5" hidden="1"/>
    <col min="8212" max="8214" width="12.7109375" style="5" hidden="1"/>
    <col min="8215" max="8451" width="9.140625" style="5" hidden="1"/>
    <col min="8452" max="8452" width="6" style="5" hidden="1"/>
    <col min="8453" max="8453" width="5.140625" style="5" hidden="1"/>
    <col min="8454" max="8454" width="12" style="5" hidden="1"/>
    <col min="8455" max="8456" width="7.42578125" style="5" hidden="1"/>
    <col min="8457" max="8457" width="7.28515625" style="5" hidden="1"/>
    <col min="8458" max="8458" width="3.140625" style="5" hidden="1"/>
    <col min="8459" max="8460" width="6.7109375" style="5" hidden="1"/>
    <col min="8461" max="8461" width="8.42578125" style="5" hidden="1"/>
    <col min="8462" max="8462" width="6.140625" style="5" hidden="1"/>
    <col min="8463" max="8465" width="10.5703125" style="5" hidden="1"/>
    <col min="8466" max="8466" width="2.28515625" style="5" hidden="1"/>
    <col min="8467" max="8467" width="18.28515625" style="5" hidden="1"/>
    <col min="8468" max="8470" width="12.7109375" style="5" hidden="1"/>
    <col min="8471" max="8707" width="9.140625" style="5" hidden="1"/>
    <col min="8708" max="8708" width="6" style="5" hidden="1"/>
    <col min="8709" max="8709" width="5.140625" style="5" hidden="1"/>
    <col min="8710" max="8710" width="12" style="5" hidden="1"/>
    <col min="8711" max="8712" width="7.42578125" style="5" hidden="1"/>
    <col min="8713" max="8713" width="7.28515625" style="5" hidden="1"/>
    <col min="8714" max="8714" width="3.140625" style="5" hidden="1"/>
    <col min="8715" max="8716" width="6.7109375" style="5" hidden="1"/>
    <col min="8717" max="8717" width="8.42578125" style="5" hidden="1"/>
    <col min="8718" max="8718" width="6.140625" style="5" hidden="1"/>
    <col min="8719" max="8721" width="10.5703125" style="5" hidden="1"/>
    <col min="8722" max="8722" width="2.28515625" style="5" hidden="1"/>
    <col min="8723" max="8723" width="18.28515625" style="5" hidden="1"/>
    <col min="8724" max="8726" width="12.7109375" style="5" hidden="1"/>
    <col min="8727" max="8963" width="9.140625" style="5" hidden="1"/>
    <col min="8964" max="8964" width="6" style="5" hidden="1"/>
    <col min="8965" max="8965" width="5.140625" style="5" hidden="1"/>
    <col min="8966" max="8966" width="12" style="5" hidden="1"/>
    <col min="8967" max="8968" width="7.42578125" style="5" hidden="1"/>
    <col min="8969" max="8969" width="7.28515625" style="5" hidden="1"/>
    <col min="8970" max="8970" width="3.140625" style="5" hidden="1"/>
    <col min="8971" max="8972" width="6.7109375" style="5" hidden="1"/>
    <col min="8973" max="8973" width="8.42578125" style="5" hidden="1"/>
    <col min="8974" max="8974" width="6.140625" style="5" hidden="1"/>
    <col min="8975" max="8977" width="10.5703125" style="5" hidden="1"/>
    <col min="8978" max="8978" width="2.28515625" style="5" hidden="1"/>
    <col min="8979" max="8979" width="18.28515625" style="5" hidden="1"/>
    <col min="8980" max="8982" width="12.7109375" style="5" hidden="1"/>
    <col min="8983" max="9219" width="9.140625" style="5" hidden="1"/>
    <col min="9220" max="9220" width="6" style="5" hidden="1"/>
    <col min="9221" max="9221" width="5.140625" style="5" hidden="1"/>
    <col min="9222" max="9222" width="12" style="5" hidden="1"/>
    <col min="9223" max="9224" width="7.42578125" style="5" hidden="1"/>
    <col min="9225" max="9225" width="7.28515625" style="5" hidden="1"/>
    <col min="9226" max="9226" width="3.140625" style="5" hidden="1"/>
    <col min="9227" max="9228" width="6.7109375" style="5" hidden="1"/>
    <col min="9229" max="9229" width="8.42578125" style="5" hidden="1"/>
    <col min="9230" max="9230" width="6.140625" style="5" hidden="1"/>
    <col min="9231" max="9233" width="10.5703125" style="5" hidden="1"/>
    <col min="9234" max="9234" width="2.28515625" style="5" hidden="1"/>
    <col min="9235" max="9235" width="18.28515625" style="5" hidden="1"/>
    <col min="9236" max="9238" width="12.7109375" style="5" hidden="1"/>
    <col min="9239" max="9475" width="9.140625" style="5" hidden="1"/>
    <col min="9476" max="9476" width="6" style="5" hidden="1"/>
    <col min="9477" max="9477" width="5.140625" style="5" hidden="1"/>
    <col min="9478" max="9478" width="12" style="5" hidden="1"/>
    <col min="9479" max="9480" width="7.42578125" style="5" hidden="1"/>
    <col min="9481" max="9481" width="7.28515625" style="5" hidden="1"/>
    <col min="9482" max="9482" width="3.140625" style="5" hidden="1"/>
    <col min="9483" max="9484" width="6.7109375" style="5" hidden="1"/>
    <col min="9485" max="9485" width="8.42578125" style="5" hidden="1"/>
    <col min="9486" max="9486" width="6.140625" style="5" hidden="1"/>
    <col min="9487" max="9489" width="10.5703125" style="5" hidden="1"/>
    <col min="9490" max="9490" width="2.28515625" style="5" hidden="1"/>
    <col min="9491" max="9491" width="18.28515625" style="5" hidden="1"/>
    <col min="9492" max="9494" width="12.7109375" style="5" hidden="1"/>
    <col min="9495" max="9731" width="9.140625" style="5" hidden="1"/>
    <col min="9732" max="9732" width="6" style="5" hidden="1"/>
    <col min="9733" max="9733" width="5.140625" style="5" hidden="1"/>
    <col min="9734" max="9734" width="12" style="5" hidden="1"/>
    <col min="9735" max="9736" width="7.42578125" style="5" hidden="1"/>
    <col min="9737" max="9737" width="7.28515625" style="5" hidden="1"/>
    <col min="9738" max="9738" width="3.140625" style="5" hidden="1"/>
    <col min="9739" max="9740" width="6.7109375" style="5" hidden="1"/>
    <col min="9741" max="9741" width="8.42578125" style="5" hidden="1"/>
    <col min="9742" max="9742" width="6.140625" style="5" hidden="1"/>
    <col min="9743" max="9745" width="10.5703125" style="5" hidden="1"/>
    <col min="9746" max="9746" width="2.28515625" style="5" hidden="1"/>
    <col min="9747" max="9747" width="18.28515625" style="5" hidden="1"/>
    <col min="9748" max="9750" width="12.7109375" style="5" hidden="1"/>
    <col min="9751" max="9987" width="9.140625" style="5" hidden="1"/>
    <col min="9988" max="9988" width="6" style="5" hidden="1"/>
    <col min="9989" max="9989" width="5.140625" style="5" hidden="1"/>
    <col min="9990" max="9990" width="12" style="5" hidden="1"/>
    <col min="9991" max="9992" width="7.42578125" style="5" hidden="1"/>
    <col min="9993" max="9993" width="7.28515625" style="5" hidden="1"/>
    <col min="9994" max="9994" width="3.140625" style="5" hidden="1"/>
    <col min="9995" max="9996" width="6.7109375" style="5" hidden="1"/>
    <col min="9997" max="9997" width="8.42578125" style="5" hidden="1"/>
    <col min="9998" max="9998" width="6.140625" style="5" hidden="1"/>
    <col min="9999" max="10001" width="10.5703125" style="5" hidden="1"/>
    <col min="10002" max="10002" width="2.28515625" style="5" hidden="1"/>
    <col min="10003" max="10003" width="18.28515625" style="5" hidden="1"/>
    <col min="10004" max="10006" width="12.7109375" style="5" hidden="1"/>
    <col min="10007" max="10243" width="9.140625" style="5" hidden="1"/>
    <col min="10244" max="10244" width="6" style="5" hidden="1"/>
    <col min="10245" max="10245" width="5.140625" style="5" hidden="1"/>
    <col min="10246" max="10246" width="12" style="5" hidden="1"/>
    <col min="10247" max="10248" width="7.42578125" style="5" hidden="1"/>
    <col min="10249" max="10249" width="7.28515625" style="5" hidden="1"/>
    <col min="10250" max="10250" width="3.140625" style="5" hidden="1"/>
    <col min="10251" max="10252" width="6.7109375" style="5" hidden="1"/>
    <col min="10253" max="10253" width="8.42578125" style="5" hidden="1"/>
    <col min="10254" max="10254" width="6.140625" style="5" hidden="1"/>
    <col min="10255" max="10257" width="10.5703125" style="5" hidden="1"/>
    <col min="10258" max="10258" width="2.28515625" style="5" hidden="1"/>
    <col min="10259" max="10259" width="18.28515625" style="5" hidden="1"/>
    <col min="10260" max="10262" width="12.7109375" style="5" hidden="1"/>
    <col min="10263" max="10499" width="9.140625" style="5" hidden="1"/>
    <col min="10500" max="10500" width="6" style="5" hidden="1"/>
    <col min="10501" max="10501" width="5.140625" style="5" hidden="1"/>
    <col min="10502" max="10502" width="12" style="5" hidden="1"/>
    <col min="10503" max="10504" width="7.42578125" style="5" hidden="1"/>
    <col min="10505" max="10505" width="7.28515625" style="5" hidden="1"/>
    <col min="10506" max="10506" width="3.140625" style="5" hidden="1"/>
    <col min="10507" max="10508" width="6.7109375" style="5" hidden="1"/>
    <col min="10509" max="10509" width="8.42578125" style="5" hidden="1"/>
    <col min="10510" max="10510" width="6.140625" style="5" hidden="1"/>
    <col min="10511" max="10513" width="10.5703125" style="5" hidden="1"/>
    <col min="10514" max="10514" width="2.28515625" style="5" hidden="1"/>
    <col min="10515" max="10515" width="18.28515625" style="5" hidden="1"/>
    <col min="10516" max="10518" width="12.7109375" style="5" hidden="1"/>
    <col min="10519" max="10755" width="9.140625" style="5" hidden="1"/>
    <col min="10756" max="10756" width="6" style="5" hidden="1"/>
    <col min="10757" max="10757" width="5.140625" style="5" hidden="1"/>
    <col min="10758" max="10758" width="12" style="5" hidden="1"/>
    <col min="10759" max="10760" width="7.42578125" style="5" hidden="1"/>
    <col min="10761" max="10761" width="7.28515625" style="5" hidden="1"/>
    <col min="10762" max="10762" width="3.140625" style="5" hidden="1"/>
    <col min="10763" max="10764" width="6.7109375" style="5" hidden="1"/>
    <col min="10765" max="10765" width="8.42578125" style="5" hidden="1"/>
    <col min="10766" max="10766" width="6.140625" style="5" hidden="1"/>
    <col min="10767" max="10769" width="10.5703125" style="5" hidden="1"/>
    <col min="10770" max="10770" width="2.28515625" style="5" hidden="1"/>
    <col min="10771" max="10771" width="18.28515625" style="5" hidden="1"/>
    <col min="10772" max="10774" width="12.7109375" style="5" hidden="1"/>
    <col min="10775" max="11011" width="9.140625" style="5" hidden="1"/>
    <col min="11012" max="11012" width="6" style="5" hidden="1"/>
    <col min="11013" max="11013" width="5.140625" style="5" hidden="1"/>
    <col min="11014" max="11014" width="12" style="5" hidden="1"/>
    <col min="11015" max="11016" width="7.42578125" style="5" hidden="1"/>
    <col min="11017" max="11017" width="7.28515625" style="5" hidden="1"/>
    <col min="11018" max="11018" width="3.140625" style="5" hidden="1"/>
    <col min="11019" max="11020" width="6.7109375" style="5" hidden="1"/>
    <col min="11021" max="11021" width="8.42578125" style="5" hidden="1"/>
    <col min="11022" max="11022" width="6.140625" style="5" hidden="1"/>
    <col min="11023" max="11025" width="10.5703125" style="5" hidden="1"/>
    <col min="11026" max="11026" width="2.28515625" style="5" hidden="1"/>
    <col min="11027" max="11027" width="18.28515625" style="5" hidden="1"/>
    <col min="11028" max="11030" width="12.7109375" style="5" hidden="1"/>
    <col min="11031" max="11267" width="9.140625" style="5" hidden="1"/>
    <col min="11268" max="11268" width="6" style="5" hidden="1"/>
    <col min="11269" max="11269" width="5.140625" style="5" hidden="1"/>
    <col min="11270" max="11270" width="12" style="5" hidden="1"/>
    <col min="11271" max="11272" width="7.42578125" style="5" hidden="1"/>
    <col min="11273" max="11273" width="7.28515625" style="5" hidden="1"/>
    <col min="11274" max="11274" width="3.140625" style="5" hidden="1"/>
    <col min="11275" max="11276" width="6.7109375" style="5" hidden="1"/>
    <col min="11277" max="11277" width="8.42578125" style="5" hidden="1"/>
    <col min="11278" max="11278" width="6.140625" style="5" hidden="1"/>
    <col min="11279" max="11281" width="10.5703125" style="5" hidden="1"/>
    <col min="11282" max="11282" width="2.28515625" style="5" hidden="1"/>
    <col min="11283" max="11283" width="18.28515625" style="5" hidden="1"/>
    <col min="11284" max="11286" width="12.7109375" style="5" hidden="1"/>
    <col min="11287" max="11523" width="9.140625" style="5" hidden="1"/>
    <col min="11524" max="11524" width="6" style="5" hidden="1"/>
    <col min="11525" max="11525" width="5.140625" style="5" hidden="1"/>
    <col min="11526" max="11526" width="12" style="5" hidden="1"/>
    <col min="11527" max="11528" width="7.42578125" style="5" hidden="1"/>
    <col min="11529" max="11529" width="7.28515625" style="5" hidden="1"/>
    <col min="11530" max="11530" width="3.140625" style="5" hidden="1"/>
    <col min="11531" max="11532" width="6.7109375" style="5" hidden="1"/>
    <col min="11533" max="11533" width="8.42578125" style="5" hidden="1"/>
    <col min="11534" max="11534" width="6.140625" style="5" hidden="1"/>
    <col min="11535" max="11537" width="10.5703125" style="5" hidden="1"/>
    <col min="11538" max="11538" width="2.28515625" style="5" hidden="1"/>
    <col min="11539" max="11539" width="18.28515625" style="5" hidden="1"/>
    <col min="11540" max="11542" width="12.7109375" style="5" hidden="1"/>
    <col min="11543" max="11779" width="9.140625" style="5" hidden="1"/>
    <col min="11780" max="11780" width="6" style="5" hidden="1"/>
    <col min="11781" max="11781" width="5.140625" style="5" hidden="1"/>
    <col min="11782" max="11782" width="12" style="5" hidden="1"/>
    <col min="11783" max="11784" width="7.42578125" style="5" hidden="1"/>
    <col min="11785" max="11785" width="7.28515625" style="5" hidden="1"/>
    <col min="11786" max="11786" width="3.140625" style="5" hidden="1"/>
    <col min="11787" max="11788" width="6.7109375" style="5" hidden="1"/>
    <col min="11789" max="11789" width="8.42578125" style="5" hidden="1"/>
    <col min="11790" max="11790" width="6.140625" style="5" hidden="1"/>
    <col min="11791" max="11793" width="10.5703125" style="5" hidden="1"/>
    <col min="11794" max="11794" width="2.28515625" style="5" hidden="1"/>
    <col min="11795" max="11795" width="18.28515625" style="5" hidden="1"/>
    <col min="11796" max="11798" width="12.7109375" style="5" hidden="1"/>
    <col min="11799" max="12035" width="9.140625" style="5" hidden="1"/>
    <col min="12036" max="12036" width="6" style="5" hidden="1"/>
    <col min="12037" max="12037" width="5.140625" style="5" hidden="1"/>
    <col min="12038" max="12038" width="12" style="5" hidden="1"/>
    <col min="12039" max="12040" width="7.42578125" style="5" hidden="1"/>
    <col min="12041" max="12041" width="7.28515625" style="5" hidden="1"/>
    <col min="12042" max="12042" width="3.140625" style="5" hidden="1"/>
    <col min="12043" max="12044" width="6.7109375" style="5" hidden="1"/>
    <col min="12045" max="12045" width="8.42578125" style="5" hidden="1"/>
    <col min="12046" max="12046" width="6.140625" style="5" hidden="1"/>
    <col min="12047" max="12049" width="10.5703125" style="5" hidden="1"/>
    <col min="12050" max="12050" width="2.28515625" style="5" hidden="1"/>
    <col min="12051" max="12051" width="18.28515625" style="5" hidden="1"/>
    <col min="12052" max="12054" width="12.7109375" style="5" hidden="1"/>
    <col min="12055" max="12291" width="9.140625" style="5" hidden="1"/>
    <col min="12292" max="12292" width="6" style="5" hidden="1"/>
    <col min="12293" max="12293" width="5.140625" style="5" hidden="1"/>
    <col min="12294" max="12294" width="12" style="5" hidden="1"/>
    <col min="12295" max="12296" width="7.42578125" style="5" hidden="1"/>
    <col min="12297" max="12297" width="7.28515625" style="5" hidden="1"/>
    <col min="12298" max="12298" width="3.140625" style="5" hidden="1"/>
    <col min="12299" max="12300" width="6.7109375" style="5" hidden="1"/>
    <col min="12301" max="12301" width="8.42578125" style="5" hidden="1"/>
    <col min="12302" max="12302" width="6.140625" style="5" hidden="1"/>
    <col min="12303" max="12305" width="10.5703125" style="5" hidden="1"/>
    <col min="12306" max="12306" width="2.28515625" style="5" hidden="1"/>
    <col min="12307" max="12307" width="18.28515625" style="5" hidden="1"/>
    <col min="12308" max="12310" width="12.7109375" style="5" hidden="1"/>
    <col min="12311" max="12547" width="9.140625" style="5" hidden="1"/>
    <col min="12548" max="12548" width="6" style="5" hidden="1"/>
    <col min="12549" max="12549" width="5.140625" style="5" hidden="1"/>
    <col min="12550" max="12550" width="12" style="5" hidden="1"/>
    <col min="12551" max="12552" width="7.42578125" style="5" hidden="1"/>
    <col min="12553" max="12553" width="7.28515625" style="5" hidden="1"/>
    <col min="12554" max="12554" width="3.140625" style="5" hidden="1"/>
    <col min="12555" max="12556" width="6.7109375" style="5" hidden="1"/>
    <col min="12557" max="12557" width="8.42578125" style="5" hidden="1"/>
    <col min="12558" max="12558" width="6.140625" style="5" hidden="1"/>
    <col min="12559" max="12561" width="10.5703125" style="5" hidden="1"/>
    <col min="12562" max="12562" width="2.28515625" style="5" hidden="1"/>
    <col min="12563" max="12563" width="18.28515625" style="5" hidden="1"/>
    <col min="12564" max="12566" width="12.7109375" style="5" hidden="1"/>
    <col min="12567" max="12803" width="9.140625" style="5" hidden="1"/>
    <col min="12804" max="12804" width="6" style="5" hidden="1"/>
    <col min="12805" max="12805" width="5.140625" style="5" hidden="1"/>
    <col min="12806" max="12806" width="12" style="5" hidden="1"/>
    <col min="12807" max="12808" width="7.42578125" style="5" hidden="1"/>
    <col min="12809" max="12809" width="7.28515625" style="5" hidden="1"/>
    <col min="12810" max="12810" width="3.140625" style="5" hidden="1"/>
    <col min="12811" max="12812" width="6.7109375" style="5" hidden="1"/>
    <col min="12813" max="12813" width="8.42578125" style="5" hidden="1"/>
    <col min="12814" max="12814" width="6.140625" style="5" hidden="1"/>
    <col min="12815" max="12817" width="10.5703125" style="5" hidden="1"/>
    <col min="12818" max="12818" width="2.28515625" style="5" hidden="1"/>
    <col min="12819" max="12819" width="18.28515625" style="5" hidden="1"/>
    <col min="12820" max="12822" width="12.7109375" style="5" hidden="1"/>
    <col min="12823" max="13059" width="9.140625" style="5" hidden="1"/>
    <col min="13060" max="13060" width="6" style="5" hidden="1"/>
    <col min="13061" max="13061" width="5.140625" style="5" hidden="1"/>
    <col min="13062" max="13062" width="12" style="5" hidden="1"/>
    <col min="13063" max="13064" width="7.42578125" style="5" hidden="1"/>
    <col min="13065" max="13065" width="7.28515625" style="5" hidden="1"/>
    <col min="13066" max="13066" width="3.140625" style="5" hidden="1"/>
    <col min="13067" max="13068" width="6.7109375" style="5" hidden="1"/>
    <col min="13069" max="13069" width="8.42578125" style="5" hidden="1"/>
    <col min="13070" max="13070" width="6.140625" style="5" hidden="1"/>
    <col min="13071" max="13073" width="10.5703125" style="5" hidden="1"/>
    <col min="13074" max="13074" width="2.28515625" style="5" hidden="1"/>
    <col min="13075" max="13075" width="18.28515625" style="5" hidden="1"/>
    <col min="13076" max="13078" width="12.7109375" style="5" hidden="1"/>
    <col min="13079" max="13315" width="9.140625" style="5" hidden="1"/>
    <col min="13316" max="13316" width="6" style="5" hidden="1"/>
    <col min="13317" max="13317" width="5.140625" style="5" hidden="1"/>
    <col min="13318" max="13318" width="12" style="5" hidden="1"/>
    <col min="13319" max="13320" width="7.42578125" style="5" hidden="1"/>
    <col min="13321" max="13321" width="7.28515625" style="5" hidden="1"/>
    <col min="13322" max="13322" width="3.140625" style="5" hidden="1"/>
    <col min="13323" max="13324" width="6.7109375" style="5" hidden="1"/>
    <col min="13325" max="13325" width="8.42578125" style="5" hidden="1"/>
    <col min="13326" max="13326" width="6.140625" style="5" hidden="1"/>
    <col min="13327" max="13329" width="10.5703125" style="5" hidden="1"/>
    <col min="13330" max="13330" width="2.28515625" style="5" hidden="1"/>
    <col min="13331" max="13331" width="18.28515625" style="5" hidden="1"/>
    <col min="13332" max="13334" width="12.7109375" style="5" hidden="1"/>
    <col min="13335" max="13571" width="9.140625" style="5" hidden="1"/>
    <col min="13572" max="13572" width="6" style="5" hidden="1"/>
    <col min="13573" max="13573" width="5.140625" style="5" hidden="1"/>
    <col min="13574" max="13574" width="12" style="5" hidden="1"/>
    <col min="13575" max="13576" width="7.42578125" style="5" hidden="1"/>
    <col min="13577" max="13577" width="7.28515625" style="5" hidden="1"/>
    <col min="13578" max="13578" width="3.140625" style="5" hidden="1"/>
    <col min="13579" max="13580" width="6.7109375" style="5" hidden="1"/>
    <col min="13581" max="13581" width="8.42578125" style="5" hidden="1"/>
    <col min="13582" max="13582" width="6.140625" style="5" hidden="1"/>
    <col min="13583" max="13585" width="10.5703125" style="5" hidden="1"/>
    <col min="13586" max="13586" width="2.28515625" style="5" hidden="1"/>
    <col min="13587" max="13587" width="18.28515625" style="5" hidden="1"/>
    <col min="13588" max="13590" width="12.7109375" style="5" hidden="1"/>
    <col min="13591" max="13827" width="9.140625" style="5" hidden="1"/>
    <col min="13828" max="13828" width="6" style="5" hidden="1"/>
    <col min="13829" max="13829" width="5.140625" style="5" hidden="1"/>
    <col min="13830" max="13830" width="12" style="5" hidden="1"/>
    <col min="13831" max="13832" width="7.42578125" style="5" hidden="1"/>
    <col min="13833" max="13833" width="7.28515625" style="5" hidden="1"/>
    <col min="13834" max="13834" width="3.140625" style="5" hidden="1"/>
    <col min="13835" max="13836" width="6.7109375" style="5" hidden="1"/>
    <col min="13837" max="13837" width="8.42578125" style="5" hidden="1"/>
    <col min="13838" max="13838" width="6.140625" style="5" hidden="1"/>
    <col min="13839" max="13841" width="10.5703125" style="5" hidden="1"/>
    <col min="13842" max="13842" width="2.28515625" style="5" hidden="1"/>
    <col min="13843" max="13843" width="18.28515625" style="5" hidden="1"/>
    <col min="13844" max="13846" width="12.7109375" style="5" hidden="1"/>
    <col min="13847" max="14083" width="9.140625" style="5" hidden="1"/>
    <col min="14084" max="14084" width="6" style="5" hidden="1"/>
    <col min="14085" max="14085" width="5.140625" style="5" hidden="1"/>
    <col min="14086" max="14086" width="12" style="5" hidden="1"/>
    <col min="14087" max="14088" width="7.42578125" style="5" hidden="1"/>
    <col min="14089" max="14089" width="7.28515625" style="5" hidden="1"/>
    <col min="14090" max="14090" width="3.140625" style="5" hidden="1"/>
    <col min="14091" max="14092" width="6.7109375" style="5" hidden="1"/>
    <col min="14093" max="14093" width="8.42578125" style="5" hidden="1"/>
    <col min="14094" max="14094" width="6.140625" style="5" hidden="1"/>
    <col min="14095" max="14097" width="10.5703125" style="5" hidden="1"/>
    <col min="14098" max="14098" width="2.28515625" style="5" hidden="1"/>
    <col min="14099" max="14099" width="18.28515625" style="5" hidden="1"/>
    <col min="14100" max="14102" width="12.7109375" style="5" hidden="1"/>
    <col min="14103" max="14339" width="9.140625" style="5" hidden="1"/>
    <col min="14340" max="14340" width="6" style="5" hidden="1"/>
    <col min="14341" max="14341" width="5.140625" style="5" hidden="1"/>
    <col min="14342" max="14342" width="12" style="5" hidden="1"/>
    <col min="14343" max="14344" width="7.42578125" style="5" hidden="1"/>
    <col min="14345" max="14345" width="7.28515625" style="5" hidden="1"/>
    <col min="14346" max="14346" width="3.140625" style="5" hidden="1"/>
    <col min="14347" max="14348" width="6.7109375" style="5" hidden="1"/>
    <col min="14349" max="14349" width="8.42578125" style="5" hidden="1"/>
    <col min="14350" max="14350" width="6.140625" style="5" hidden="1"/>
    <col min="14351" max="14353" width="10.5703125" style="5" hidden="1"/>
    <col min="14354" max="14354" width="2.28515625" style="5" hidden="1"/>
    <col min="14355" max="14355" width="18.28515625" style="5" hidden="1"/>
    <col min="14356" max="14358" width="12.7109375" style="5" hidden="1"/>
    <col min="14359" max="14595" width="9.140625" style="5" hidden="1"/>
    <col min="14596" max="14596" width="6" style="5" hidden="1"/>
    <col min="14597" max="14597" width="5.140625" style="5" hidden="1"/>
    <col min="14598" max="14598" width="12" style="5" hidden="1"/>
    <col min="14599" max="14600" width="7.42578125" style="5" hidden="1"/>
    <col min="14601" max="14601" width="7.28515625" style="5" hidden="1"/>
    <col min="14602" max="14602" width="3.140625" style="5" hidden="1"/>
    <col min="14603" max="14604" width="6.7109375" style="5" hidden="1"/>
    <col min="14605" max="14605" width="8.42578125" style="5" hidden="1"/>
    <col min="14606" max="14606" width="6.140625" style="5" hidden="1"/>
    <col min="14607" max="14609" width="10.5703125" style="5" hidden="1"/>
    <col min="14610" max="14610" width="2.28515625" style="5" hidden="1"/>
    <col min="14611" max="14611" width="18.28515625" style="5" hidden="1"/>
    <col min="14612" max="14614" width="12.7109375" style="5" hidden="1"/>
    <col min="14615" max="14851" width="9.140625" style="5" hidden="1"/>
    <col min="14852" max="14852" width="6" style="5" hidden="1"/>
    <col min="14853" max="14853" width="5.140625" style="5" hidden="1"/>
    <col min="14854" max="14854" width="12" style="5" hidden="1"/>
    <col min="14855" max="14856" width="7.42578125" style="5" hidden="1"/>
    <col min="14857" max="14857" width="7.28515625" style="5" hidden="1"/>
    <col min="14858" max="14858" width="3.140625" style="5" hidden="1"/>
    <col min="14859" max="14860" width="6.7109375" style="5" hidden="1"/>
    <col min="14861" max="14861" width="8.42578125" style="5" hidden="1"/>
    <col min="14862" max="14862" width="6.140625" style="5" hidden="1"/>
    <col min="14863" max="14865" width="10.5703125" style="5" hidden="1"/>
    <col min="14866" max="14866" width="2.28515625" style="5" hidden="1"/>
    <col min="14867" max="14867" width="18.28515625" style="5" hidden="1"/>
    <col min="14868" max="14870" width="12.7109375" style="5" hidden="1"/>
    <col min="14871" max="15107" width="9.140625" style="5" hidden="1"/>
    <col min="15108" max="15108" width="6" style="5" hidden="1"/>
    <col min="15109" max="15109" width="5.140625" style="5" hidden="1"/>
    <col min="15110" max="15110" width="12" style="5" hidden="1"/>
    <col min="15111" max="15112" width="7.42578125" style="5" hidden="1"/>
    <col min="15113" max="15113" width="7.28515625" style="5" hidden="1"/>
    <col min="15114" max="15114" width="3.140625" style="5" hidden="1"/>
    <col min="15115" max="15116" width="6.7109375" style="5" hidden="1"/>
    <col min="15117" max="15117" width="8.42578125" style="5" hidden="1"/>
    <col min="15118" max="15118" width="6.140625" style="5" hidden="1"/>
    <col min="15119" max="15121" width="10.5703125" style="5" hidden="1"/>
    <col min="15122" max="15122" width="2.28515625" style="5" hidden="1"/>
    <col min="15123" max="15123" width="18.28515625" style="5" hidden="1"/>
    <col min="15124" max="15126" width="12.7109375" style="5" hidden="1"/>
    <col min="15127" max="15363" width="9.140625" style="5" hidden="1"/>
    <col min="15364" max="15364" width="6" style="5" hidden="1"/>
    <col min="15365" max="15365" width="5.140625" style="5" hidden="1"/>
    <col min="15366" max="15366" width="12" style="5" hidden="1"/>
    <col min="15367" max="15368" width="7.42578125" style="5" hidden="1"/>
    <col min="15369" max="15369" width="7.28515625" style="5" hidden="1"/>
    <col min="15370" max="15370" width="3.140625" style="5" hidden="1"/>
    <col min="15371" max="15372" width="6.7109375" style="5" hidden="1"/>
    <col min="15373" max="15373" width="8.42578125" style="5" hidden="1"/>
    <col min="15374" max="15374" width="6.140625" style="5" hidden="1"/>
    <col min="15375" max="15377" width="10.5703125" style="5" hidden="1"/>
    <col min="15378" max="15378" width="2.28515625" style="5" hidden="1"/>
    <col min="15379" max="15379" width="18.28515625" style="5" hidden="1"/>
    <col min="15380" max="15382" width="12.7109375" style="5" hidden="1"/>
    <col min="15383" max="15619" width="9.140625" style="5" hidden="1"/>
    <col min="15620" max="15620" width="6" style="5" hidden="1"/>
    <col min="15621" max="15621" width="5.140625" style="5" hidden="1"/>
    <col min="15622" max="15622" width="12" style="5" hidden="1"/>
    <col min="15623" max="15624" width="7.42578125" style="5" hidden="1"/>
    <col min="15625" max="15625" width="7.28515625" style="5" hidden="1"/>
    <col min="15626" max="15626" width="3.140625" style="5" hidden="1"/>
    <col min="15627" max="15628" width="6.7109375" style="5" hidden="1"/>
    <col min="15629" max="15629" width="8.42578125" style="5" hidden="1"/>
    <col min="15630" max="15630" width="6.140625" style="5" hidden="1"/>
    <col min="15631" max="15633" width="10.5703125" style="5" hidden="1"/>
    <col min="15634" max="15634" width="2.28515625" style="5" hidden="1"/>
    <col min="15635" max="15635" width="18.28515625" style="5" hidden="1"/>
    <col min="15636" max="15638" width="12.7109375" style="5" hidden="1"/>
    <col min="15639" max="15875" width="9.140625" style="5" hidden="1"/>
    <col min="15876" max="15876" width="6" style="5" hidden="1"/>
    <col min="15877" max="15877" width="5.140625" style="5" hidden="1"/>
    <col min="15878" max="15878" width="12" style="5" hidden="1"/>
    <col min="15879" max="15880" width="7.42578125" style="5" hidden="1"/>
    <col min="15881" max="15881" width="7.28515625" style="5" hidden="1"/>
    <col min="15882" max="15882" width="3.140625" style="5" hidden="1"/>
    <col min="15883" max="15884" width="6.7109375" style="5" hidden="1"/>
    <col min="15885" max="15885" width="8.42578125" style="5" hidden="1"/>
    <col min="15886" max="15886" width="6.140625" style="5" hidden="1"/>
    <col min="15887" max="15889" width="10.5703125" style="5" hidden="1"/>
    <col min="15890" max="15890" width="2.28515625" style="5" hidden="1"/>
    <col min="15891" max="15891" width="18.28515625" style="5" hidden="1"/>
    <col min="15892" max="15894" width="12.7109375" style="5" hidden="1"/>
    <col min="15895" max="16131" width="9.140625" style="5" hidden="1"/>
    <col min="16132" max="16132" width="6" style="5" hidden="1"/>
    <col min="16133" max="16133" width="5.140625" style="5" hidden="1"/>
    <col min="16134" max="16134" width="12" style="5" hidden="1"/>
    <col min="16135" max="16136" width="7.42578125" style="5" hidden="1"/>
    <col min="16137" max="16137" width="7.28515625" style="5" hidden="1"/>
    <col min="16138" max="16138" width="3.140625" style="5" hidden="1"/>
    <col min="16139" max="16140" width="6.7109375" style="5" hidden="1"/>
    <col min="16141" max="16141" width="8.42578125" style="5" hidden="1"/>
    <col min="16142" max="16142" width="6.140625" style="5" hidden="1"/>
    <col min="16143" max="16145" width="10.5703125" style="5" hidden="1"/>
    <col min="16146" max="16146" width="2.28515625" style="5" hidden="1"/>
    <col min="16147" max="16147" width="18.28515625" style="5" hidden="1"/>
    <col min="16148" max="16150" width="12.7109375" style="5" hidden="1"/>
    <col min="16151" max="16384" width="9.140625" style="5" hidden="1"/>
  </cols>
  <sheetData>
    <row r="1" spans="2:22" ht="39.75" customHeight="1" thickBot="1" x14ac:dyDescent="0.3">
      <c r="B1" s="1" t="s">
        <v>45</v>
      </c>
      <c r="C1" s="2"/>
      <c r="D1" s="3"/>
      <c r="E1" s="2"/>
      <c r="F1" s="2"/>
      <c r="G1" s="2"/>
      <c r="H1" s="4"/>
      <c r="I1" s="4"/>
      <c r="J1" s="4"/>
      <c r="K1" s="4"/>
      <c r="L1" s="2"/>
      <c r="M1" s="2"/>
      <c r="N1" s="2"/>
      <c r="O1" s="2"/>
    </row>
    <row r="2" spans="2:22" ht="24.6" customHeight="1" thickTop="1" x14ac:dyDescent="0.2">
      <c r="B2" s="164" t="s">
        <v>80</v>
      </c>
      <c r="C2" s="165"/>
      <c r="D2" s="166"/>
      <c r="E2" s="166"/>
      <c r="F2" s="167"/>
      <c r="G2" s="7"/>
      <c r="H2" s="8"/>
      <c r="I2" s="8"/>
      <c r="J2" s="8"/>
      <c r="K2" s="8"/>
      <c r="L2" s="8"/>
      <c r="M2" s="8"/>
      <c r="N2" s="168" t="s">
        <v>0</v>
      </c>
      <c r="O2" s="169"/>
      <c r="P2" s="174">
        <v>45748</v>
      </c>
      <c r="Q2" s="175"/>
      <c r="S2" s="9"/>
      <c r="T2" s="10"/>
      <c r="U2" s="8"/>
      <c r="V2" s="8"/>
    </row>
    <row r="3" spans="2:22" ht="18.75" customHeight="1" x14ac:dyDescent="0.2">
      <c r="B3" s="180" t="s">
        <v>1</v>
      </c>
      <c r="C3" s="181"/>
      <c r="D3" s="182" t="s">
        <v>73</v>
      </c>
      <c r="E3" s="183"/>
      <c r="F3" s="184"/>
      <c r="G3" s="11"/>
      <c r="H3" s="8"/>
      <c r="I3" s="8"/>
      <c r="J3" s="8"/>
      <c r="K3" s="8"/>
      <c r="L3" s="8"/>
      <c r="M3" s="8"/>
      <c r="N3" s="170"/>
      <c r="O3" s="171"/>
      <c r="P3" s="176"/>
      <c r="Q3" s="177"/>
      <c r="S3" s="9"/>
      <c r="T3" s="10"/>
      <c r="U3" s="8"/>
      <c r="V3" s="8"/>
    </row>
    <row r="4" spans="2:22" ht="18.75" customHeight="1" thickBot="1" x14ac:dyDescent="0.3">
      <c r="B4" s="12" t="s">
        <v>2</v>
      </c>
      <c r="C4" s="13"/>
      <c r="D4" s="185"/>
      <c r="E4" s="186"/>
      <c r="F4" s="187"/>
      <c r="G4" s="7"/>
      <c r="H4" s="8"/>
      <c r="I4" s="8"/>
      <c r="J4" s="8"/>
      <c r="K4" s="8"/>
      <c r="L4" s="8"/>
      <c r="M4" s="8"/>
      <c r="N4" s="172"/>
      <c r="O4" s="173"/>
      <c r="P4" s="178"/>
      <c r="Q4" s="179"/>
      <c r="S4" s="8"/>
      <c r="T4" s="14"/>
      <c r="U4" s="15"/>
      <c r="V4" s="8"/>
    </row>
    <row r="5" spans="2:22" ht="13.5" thickBot="1" x14ac:dyDescent="0.25">
      <c r="B5" s="5"/>
      <c r="D5" s="8"/>
      <c r="E5" s="16"/>
      <c r="F5" s="16"/>
      <c r="G5" s="16"/>
      <c r="H5" s="8"/>
      <c r="I5" s="8"/>
      <c r="J5" s="67"/>
      <c r="K5" s="67"/>
      <c r="L5" s="67"/>
      <c r="M5" s="67"/>
      <c r="N5" s="8"/>
      <c r="O5" s="8"/>
      <c r="P5" s="8"/>
      <c r="Q5" s="8"/>
      <c r="S5" s="8"/>
      <c r="V5" s="8"/>
    </row>
    <row r="6" spans="2:22" ht="17.25" thickTop="1" thickBot="1" x14ac:dyDescent="0.4">
      <c r="B6" s="17"/>
      <c r="C6" s="18"/>
      <c r="D6" s="19"/>
      <c r="E6" s="148" t="s">
        <v>3</v>
      </c>
      <c r="F6" s="149"/>
      <c r="G6" s="149"/>
      <c r="H6" s="76" t="b">
        <v>1</v>
      </c>
      <c r="I6" s="192" t="s">
        <v>71</v>
      </c>
      <c r="J6" s="188" t="s">
        <v>4</v>
      </c>
      <c r="K6" s="188"/>
      <c r="L6" s="188"/>
      <c r="M6" s="188"/>
      <c r="N6" s="195" t="s">
        <v>79</v>
      </c>
      <c r="O6" s="195"/>
      <c r="P6" s="195"/>
      <c r="Q6" s="196"/>
      <c r="S6" s="16"/>
      <c r="T6" s="16"/>
      <c r="U6" s="16"/>
      <c r="V6" s="16"/>
    </row>
    <row r="7" spans="2:22" ht="17.25" customHeight="1" thickTop="1" thickBot="1" x14ac:dyDescent="0.4">
      <c r="B7" s="20"/>
      <c r="C7" s="20"/>
      <c r="D7" s="21"/>
      <c r="E7" s="150"/>
      <c r="F7" s="151"/>
      <c r="G7" s="151"/>
      <c r="H7" s="75" t="s">
        <v>40</v>
      </c>
      <c r="I7" s="193"/>
      <c r="J7" s="189"/>
      <c r="K7" s="189"/>
      <c r="L7" s="189"/>
      <c r="M7" s="189"/>
      <c r="N7" s="197"/>
      <c r="O7" s="197"/>
      <c r="P7" s="197"/>
      <c r="Q7" s="198"/>
      <c r="S7" s="22"/>
      <c r="T7" s="23"/>
      <c r="U7" s="22"/>
      <c r="V7" s="22"/>
    </row>
    <row r="8" spans="2:22" ht="15.75" thickTop="1" x14ac:dyDescent="0.2">
      <c r="B8" s="152" t="s">
        <v>5</v>
      </c>
      <c r="C8" s="154" t="s">
        <v>6</v>
      </c>
      <c r="D8" s="156" t="s">
        <v>7</v>
      </c>
      <c r="E8" s="24" t="s">
        <v>8</v>
      </c>
      <c r="F8" s="24" t="s">
        <v>9</v>
      </c>
      <c r="G8" s="24" t="s">
        <v>10</v>
      </c>
      <c r="H8" s="77" t="s">
        <v>41</v>
      </c>
      <c r="I8" s="193"/>
      <c r="J8" s="190" t="s">
        <v>7</v>
      </c>
      <c r="K8" s="25" t="s">
        <v>11</v>
      </c>
      <c r="L8" s="25" t="s">
        <v>12</v>
      </c>
      <c r="M8" s="82" t="s">
        <v>13</v>
      </c>
      <c r="N8" s="197"/>
      <c r="O8" s="197"/>
      <c r="P8" s="197"/>
      <c r="Q8" s="198"/>
      <c r="S8" s="22"/>
      <c r="T8" s="22"/>
      <c r="U8" s="22"/>
      <c r="V8" s="22"/>
    </row>
    <row r="9" spans="2:22" ht="15" x14ac:dyDescent="0.2">
      <c r="B9" s="153"/>
      <c r="C9" s="155"/>
      <c r="D9" s="157"/>
      <c r="E9" s="26" t="s">
        <v>14</v>
      </c>
      <c r="F9" s="26" t="s">
        <v>15</v>
      </c>
      <c r="G9" s="26" t="s">
        <v>16</v>
      </c>
      <c r="H9" s="77" t="s">
        <v>42</v>
      </c>
      <c r="I9" s="194"/>
      <c r="J9" s="191"/>
      <c r="K9" s="71" t="s">
        <v>17</v>
      </c>
      <c r="L9" s="27" t="s">
        <v>17</v>
      </c>
      <c r="M9" s="83" t="s">
        <v>16</v>
      </c>
      <c r="N9" s="199"/>
      <c r="O9" s="199"/>
      <c r="P9" s="199"/>
      <c r="Q9" s="200"/>
      <c r="R9" s="22"/>
      <c r="S9" s="22"/>
    </row>
    <row r="10" spans="2:22" ht="15" x14ac:dyDescent="0.3">
      <c r="B10" s="28" t="str">
        <f t="shared" ref="B10:B40" si="0">TEXT(C10,"ddd") &amp; IF(ISNUMBER(MATCH(C10,LD,0)), "*", "")</f>
        <v>Tue</v>
      </c>
      <c r="C10" s="29">
        <f>P2</f>
        <v>45748</v>
      </c>
      <c r="D10" s="68"/>
      <c r="E10" s="30" t="str">
        <f>_xlfn.XLOOKUP(D10,Values!$B$3:$B$52,Values!$C$3:$C$52,"",0,1)</f>
        <v/>
      </c>
      <c r="F10" s="30" t="str">
        <f>_xlfn.XLOOKUP(D10,Values!$B$3:$B$52,Values!$D$3:$D$52,"",0,1)</f>
        <v/>
      </c>
      <c r="G10" s="31">
        <f>IFERROR(IF(F10-E10&lt;0,F10-E10+1,F10-E10),0)</f>
        <v>0</v>
      </c>
      <c r="H10" s="87"/>
      <c r="I10" s="88"/>
      <c r="J10" s="72"/>
      <c r="K10" s="32"/>
      <c r="L10" s="32"/>
      <c r="M10" s="84">
        <f t="shared" ref="M10:M40" si="1">L10-K10</f>
        <v>0</v>
      </c>
      <c r="N10" s="146">
        <f>IF(Values!F4=TRUE,0.333333333333333+M10,M10)*24</f>
        <v>0</v>
      </c>
      <c r="O10" s="146"/>
      <c r="P10" s="146"/>
      <c r="Q10" s="147"/>
      <c r="R10" s="33"/>
      <c r="S10" s="34"/>
    </row>
    <row r="11" spans="2:22" ht="15" x14ac:dyDescent="0.3">
      <c r="B11" s="28" t="str">
        <f t="shared" si="0"/>
        <v>Wed</v>
      </c>
      <c r="C11" s="29">
        <f>C10+1</f>
        <v>45749</v>
      </c>
      <c r="D11" s="68"/>
      <c r="E11" s="30" t="str">
        <f>_xlfn.XLOOKUP(D11,Values!$B$3:$B$52,Values!$C$3:$C$52,"",0,1)</f>
        <v/>
      </c>
      <c r="F11" s="30" t="str">
        <f>_xlfn.XLOOKUP(D11,Values!$B$3:$B$52,Values!$D$3:$D$52,"",0,1)</f>
        <v/>
      </c>
      <c r="G11" s="31">
        <f t="shared" ref="G11:G40" si="2">IFERROR(IF(F11-E11&lt;0,F11-E11+1,F11-E11),0)</f>
        <v>0</v>
      </c>
      <c r="H11" s="87"/>
      <c r="I11" s="87"/>
      <c r="J11" s="72"/>
      <c r="K11" s="32"/>
      <c r="L11" s="32"/>
      <c r="M11" s="84">
        <f t="shared" si="1"/>
        <v>0</v>
      </c>
      <c r="N11" s="146">
        <f>IF(Values!F5=TRUE,0.333333333333333+M11,M11)*24</f>
        <v>0</v>
      </c>
      <c r="O11" s="146"/>
      <c r="P11" s="146"/>
      <c r="Q11" s="147"/>
      <c r="R11" s="33"/>
      <c r="S11" s="34"/>
    </row>
    <row r="12" spans="2:22" ht="15" x14ac:dyDescent="0.3">
      <c r="B12" s="28" t="str">
        <f t="shared" si="0"/>
        <v>Thu</v>
      </c>
      <c r="C12" s="29">
        <f t="shared" ref="C12:C37" si="3">C11+1</f>
        <v>45750</v>
      </c>
      <c r="D12" s="68"/>
      <c r="E12" s="30" t="str">
        <f>_xlfn.XLOOKUP(D12,Values!$B$3:$B$52,Values!$C$3:$C$52,"",0,1)</f>
        <v/>
      </c>
      <c r="F12" s="30" t="str">
        <f>_xlfn.XLOOKUP(D12,Values!$B$3:$B$52,Values!$D$3:$D$52,"",0,1)</f>
        <v/>
      </c>
      <c r="G12" s="31">
        <f t="shared" si="2"/>
        <v>0</v>
      </c>
      <c r="H12" s="87"/>
      <c r="I12" s="87"/>
      <c r="J12" s="72"/>
      <c r="K12" s="32"/>
      <c r="L12" s="32"/>
      <c r="M12" s="84">
        <f t="shared" si="1"/>
        <v>0</v>
      </c>
      <c r="N12" s="146">
        <f>IF(Values!F6=TRUE,0.333333333333333+M12,M12)*24</f>
        <v>0</v>
      </c>
      <c r="O12" s="146"/>
      <c r="P12" s="146"/>
      <c r="Q12" s="147"/>
      <c r="R12" s="33"/>
      <c r="S12" s="34"/>
    </row>
    <row r="13" spans="2:22" ht="15" x14ac:dyDescent="0.3">
      <c r="B13" s="28" t="str">
        <f t="shared" si="0"/>
        <v>Fri</v>
      </c>
      <c r="C13" s="29">
        <f t="shared" si="3"/>
        <v>45751</v>
      </c>
      <c r="D13" s="68"/>
      <c r="E13" s="30" t="str">
        <f>_xlfn.XLOOKUP(D13,Values!$B$3:$B$52,Values!$C$3:$C$52,"",0,1)</f>
        <v/>
      </c>
      <c r="F13" s="30" t="str">
        <f>_xlfn.XLOOKUP(D13,Values!$B$3:$B$52,Values!$D$3:$D$52,"",0,1)</f>
        <v/>
      </c>
      <c r="G13" s="31">
        <f t="shared" si="2"/>
        <v>0</v>
      </c>
      <c r="H13" s="87"/>
      <c r="I13" s="87"/>
      <c r="J13" s="72"/>
      <c r="K13" s="32"/>
      <c r="L13" s="32"/>
      <c r="M13" s="84">
        <f t="shared" si="1"/>
        <v>0</v>
      </c>
      <c r="N13" s="146">
        <f>IF(Values!F7=TRUE,0.333333333333333+M13,M13)*24</f>
        <v>0</v>
      </c>
      <c r="O13" s="146"/>
      <c r="P13" s="146"/>
      <c r="Q13" s="147"/>
      <c r="R13" s="33"/>
      <c r="S13" s="34"/>
    </row>
    <row r="14" spans="2:22" ht="15" x14ac:dyDescent="0.3">
      <c r="B14" s="28" t="str">
        <f t="shared" si="0"/>
        <v>Sat</v>
      </c>
      <c r="C14" s="29">
        <f t="shared" si="3"/>
        <v>45752</v>
      </c>
      <c r="D14" s="68"/>
      <c r="E14" s="30" t="str">
        <f>_xlfn.XLOOKUP(D14,Values!$B$3:$B$52,Values!$C$3:$C$52,"",0,1)</f>
        <v/>
      </c>
      <c r="F14" s="30" t="str">
        <f>_xlfn.XLOOKUP(D14,Values!$B$3:$B$52,Values!$D$3:$D$52,"",0,1)</f>
        <v/>
      </c>
      <c r="G14" s="31">
        <f t="shared" si="2"/>
        <v>0</v>
      </c>
      <c r="H14" s="87"/>
      <c r="I14" s="87"/>
      <c r="J14" s="72"/>
      <c r="K14" s="32"/>
      <c r="L14" s="32"/>
      <c r="M14" s="84">
        <f t="shared" si="1"/>
        <v>0</v>
      </c>
      <c r="N14" s="146">
        <f>IF(Values!F8=TRUE,0.333333333333333+M14,M14)*24</f>
        <v>0</v>
      </c>
      <c r="O14" s="146"/>
      <c r="P14" s="146"/>
      <c r="Q14" s="147"/>
      <c r="R14" s="33"/>
      <c r="S14" s="34"/>
    </row>
    <row r="15" spans="2:22" ht="15" x14ac:dyDescent="0.3">
      <c r="B15" s="28" t="str">
        <f t="shared" si="0"/>
        <v>Sun</v>
      </c>
      <c r="C15" s="29">
        <f t="shared" si="3"/>
        <v>45753</v>
      </c>
      <c r="D15" s="68"/>
      <c r="E15" s="30" t="str">
        <f>_xlfn.XLOOKUP(D15,Values!$B$3:$B$52,Values!$C$3:$C$52,"",0,1)</f>
        <v/>
      </c>
      <c r="F15" s="30" t="str">
        <f>_xlfn.XLOOKUP(D15,Values!$B$3:$B$52,Values!$D$3:$D$52,"",0,1)</f>
        <v/>
      </c>
      <c r="G15" s="31">
        <f t="shared" si="2"/>
        <v>0</v>
      </c>
      <c r="H15" s="87"/>
      <c r="I15" s="87"/>
      <c r="J15" s="72"/>
      <c r="K15" s="32"/>
      <c r="L15" s="32"/>
      <c r="M15" s="84">
        <f t="shared" si="1"/>
        <v>0</v>
      </c>
      <c r="N15" s="146">
        <f>IF(Values!F9=TRUE,0.333333333333333+M15,M15)*24</f>
        <v>0</v>
      </c>
      <c r="O15" s="146"/>
      <c r="P15" s="146"/>
      <c r="Q15" s="147"/>
      <c r="R15" s="33"/>
      <c r="S15" s="34"/>
    </row>
    <row r="16" spans="2:22" ht="15" x14ac:dyDescent="0.3">
      <c r="B16" s="28" t="str">
        <f t="shared" si="0"/>
        <v>Mon</v>
      </c>
      <c r="C16" s="29">
        <f t="shared" si="3"/>
        <v>45754</v>
      </c>
      <c r="D16" s="68"/>
      <c r="E16" s="30" t="str">
        <f>_xlfn.XLOOKUP(D16,Values!$B$3:$B$52,Values!$C$3:$C$52,"",0,1)</f>
        <v/>
      </c>
      <c r="F16" s="30" t="str">
        <f>_xlfn.XLOOKUP(D16,Values!$B$3:$B$52,Values!$D$3:$D$52,"",0,1)</f>
        <v/>
      </c>
      <c r="G16" s="31">
        <f t="shared" si="2"/>
        <v>0</v>
      </c>
      <c r="H16" s="87"/>
      <c r="I16" s="87"/>
      <c r="J16" s="72"/>
      <c r="K16" s="32"/>
      <c r="L16" s="32"/>
      <c r="M16" s="84">
        <f t="shared" si="1"/>
        <v>0</v>
      </c>
      <c r="N16" s="146">
        <f>IF(Values!F10=TRUE,0.333333333333333+M16,M16)*24</f>
        <v>0</v>
      </c>
      <c r="O16" s="146"/>
      <c r="P16" s="146"/>
      <c r="Q16" s="147"/>
      <c r="R16" s="33"/>
      <c r="S16" s="35"/>
    </row>
    <row r="17" spans="2:19" ht="15" x14ac:dyDescent="0.3">
      <c r="B17" s="28" t="str">
        <f t="shared" si="0"/>
        <v>Tue</v>
      </c>
      <c r="C17" s="29">
        <f t="shared" si="3"/>
        <v>45755</v>
      </c>
      <c r="D17" s="68"/>
      <c r="E17" s="30" t="str">
        <f>_xlfn.XLOOKUP(D17,Values!$B$3:$B$52,Values!$C$3:$C$52,"",0,1)</f>
        <v/>
      </c>
      <c r="F17" s="30" t="str">
        <f>_xlfn.XLOOKUP(D17,Values!$B$3:$B$52,Values!$D$3:$D$52,"",0,1)</f>
        <v/>
      </c>
      <c r="G17" s="31">
        <f t="shared" si="2"/>
        <v>0</v>
      </c>
      <c r="H17" s="87"/>
      <c r="I17" s="87"/>
      <c r="J17" s="72"/>
      <c r="K17" s="32"/>
      <c r="L17" s="32"/>
      <c r="M17" s="84">
        <f t="shared" si="1"/>
        <v>0</v>
      </c>
      <c r="N17" s="146">
        <f>IF(Values!F11=TRUE,0.333333333333333+M17,M17)*24</f>
        <v>0</v>
      </c>
      <c r="O17" s="146"/>
      <c r="P17" s="146"/>
      <c r="Q17" s="147"/>
      <c r="R17" s="33"/>
      <c r="S17" s="35"/>
    </row>
    <row r="18" spans="2:19" ht="15" x14ac:dyDescent="0.3">
      <c r="B18" s="28" t="str">
        <f t="shared" si="0"/>
        <v>Wed</v>
      </c>
      <c r="C18" s="29">
        <f t="shared" si="3"/>
        <v>45756</v>
      </c>
      <c r="D18" s="68"/>
      <c r="E18" s="30" t="str">
        <f>_xlfn.XLOOKUP(D18,Values!$B$3:$B$52,Values!$C$3:$C$52,"",0,1)</f>
        <v/>
      </c>
      <c r="F18" s="30" t="str">
        <f>_xlfn.XLOOKUP(D18,Values!$B$3:$B$52,Values!$D$3:$D$52,"",0,1)</f>
        <v/>
      </c>
      <c r="G18" s="31">
        <f t="shared" si="2"/>
        <v>0</v>
      </c>
      <c r="H18" s="87"/>
      <c r="I18" s="87"/>
      <c r="J18" s="72"/>
      <c r="K18" s="32"/>
      <c r="L18" s="32"/>
      <c r="M18" s="84">
        <f t="shared" si="1"/>
        <v>0</v>
      </c>
      <c r="N18" s="146">
        <f>IF(Values!F12=TRUE,0.333333333333333+M18,M18)*24</f>
        <v>0</v>
      </c>
      <c r="O18" s="146"/>
      <c r="P18" s="146"/>
      <c r="Q18" s="147"/>
      <c r="R18" s="33"/>
      <c r="S18" s="35"/>
    </row>
    <row r="19" spans="2:19" ht="15" x14ac:dyDescent="0.3">
      <c r="B19" s="28" t="str">
        <f t="shared" si="0"/>
        <v>Thu</v>
      </c>
      <c r="C19" s="29">
        <f t="shared" si="3"/>
        <v>45757</v>
      </c>
      <c r="D19" s="68"/>
      <c r="E19" s="30" t="str">
        <f>_xlfn.XLOOKUP(D19,Values!$B$3:$B$52,Values!$C$3:$C$52,"",0,1)</f>
        <v/>
      </c>
      <c r="F19" s="30" t="str">
        <f>_xlfn.XLOOKUP(D19,Values!$B$3:$B$52,Values!$D$3:$D$52,"",0,1)</f>
        <v/>
      </c>
      <c r="G19" s="31">
        <f t="shared" si="2"/>
        <v>0</v>
      </c>
      <c r="H19" s="87"/>
      <c r="I19" s="87"/>
      <c r="J19" s="72"/>
      <c r="K19" s="32"/>
      <c r="L19" s="32"/>
      <c r="M19" s="84">
        <f t="shared" si="1"/>
        <v>0</v>
      </c>
      <c r="N19" s="146">
        <f>IF(Values!F13=TRUE,0.333333333333333+M19,M19)*24</f>
        <v>0</v>
      </c>
      <c r="O19" s="146"/>
      <c r="P19" s="146"/>
      <c r="Q19" s="147"/>
      <c r="R19" s="33"/>
      <c r="S19" s="35"/>
    </row>
    <row r="20" spans="2:19" ht="15" x14ac:dyDescent="0.3">
      <c r="B20" s="28" t="str">
        <f t="shared" si="0"/>
        <v>Fri</v>
      </c>
      <c r="C20" s="29">
        <f t="shared" si="3"/>
        <v>45758</v>
      </c>
      <c r="D20" s="68"/>
      <c r="E20" s="30" t="str">
        <f>_xlfn.XLOOKUP(D20,Values!$B$3:$B$52,Values!$C$3:$C$52,"",0,1)</f>
        <v/>
      </c>
      <c r="F20" s="30" t="str">
        <f>_xlfn.XLOOKUP(D20,Values!$B$3:$B$52,Values!$D$3:$D$52,"",0,1)</f>
        <v/>
      </c>
      <c r="G20" s="31">
        <f t="shared" si="2"/>
        <v>0</v>
      </c>
      <c r="H20" s="87"/>
      <c r="I20" s="87"/>
      <c r="J20" s="72"/>
      <c r="K20" s="32"/>
      <c r="L20" s="32"/>
      <c r="M20" s="84">
        <f t="shared" si="1"/>
        <v>0</v>
      </c>
      <c r="N20" s="146">
        <f>IF(Values!F14=TRUE,0.333333333333333+M20,M20)*24</f>
        <v>0</v>
      </c>
      <c r="O20" s="146"/>
      <c r="P20" s="146"/>
      <c r="Q20" s="147"/>
      <c r="R20" s="33"/>
      <c r="S20" s="35"/>
    </row>
    <row r="21" spans="2:19" ht="15" x14ac:dyDescent="0.3">
      <c r="B21" s="28" t="str">
        <f t="shared" si="0"/>
        <v>Sat</v>
      </c>
      <c r="C21" s="29">
        <f t="shared" si="3"/>
        <v>45759</v>
      </c>
      <c r="D21" s="68"/>
      <c r="E21" s="30" t="str">
        <f>_xlfn.XLOOKUP(D21,Values!$B$3:$B$52,Values!$C$3:$C$52,"",0,1)</f>
        <v/>
      </c>
      <c r="F21" s="30" t="str">
        <f>_xlfn.XLOOKUP(D21,Values!$B$3:$B$52,Values!$D$3:$D$52,"",0,1)</f>
        <v/>
      </c>
      <c r="G21" s="31">
        <f t="shared" si="2"/>
        <v>0</v>
      </c>
      <c r="H21" s="87"/>
      <c r="I21" s="87"/>
      <c r="J21" s="72"/>
      <c r="K21" s="32"/>
      <c r="L21" s="32"/>
      <c r="M21" s="84">
        <f t="shared" si="1"/>
        <v>0</v>
      </c>
      <c r="N21" s="146">
        <f>IF(Values!F15=TRUE,0.333333333333333+M21,M21)*24</f>
        <v>0</v>
      </c>
      <c r="O21" s="146"/>
      <c r="P21" s="146"/>
      <c r="Q21" s="147"/>
      <c r="R21" s="33"/>
      <c r="S21" s="35"/>
    </row>
    <row r="22" spans="2:19" ht="15" x14ac:dyDescent="0.3">
      <c r="B22" s="28" t="str">
        <f t="shared" si="0"/>
        <v>Sun</v>
      </c>
      <c r="C22" s="29">
        <f t="shared" si="3"/>
        <v>45760</v>
      </c>
      <c r="D22" s="68"/>
      <c r="E22" s="30" t="str">
        <f>_xlfn.XLOOKUP(D22,Values!$B$3:$B$52,Values!$C$3:$C$52,"",0,1)</f>
        <v/>
      </c>
      <c r="F22" s="30" t="str">
        <f>_xlfn.XLOOKUP(D22,Values!$B$3:$B$52,Values!$D$3:$D$52,"",0,1)</f>
        <v/>
      </c>
      <c r="G22" s="31">
        <f t="shared" si="2"/>
        <v>0</v>
      </c>
      <c r="H22" s="87"/>
      <c r="I22" s="87"/>
      <c r="J22" s="72"/>
      <c r="K22" s="32"/>
      <c r="L22" s="32"/>
      <c r="M22" s="84">
        <f t="shared" si="1"/>
        <v>0</v>
      </c>
      <c r="N22" s="146">
        <f>IF(Values!F16=TRUE,0.333333333333333+M22,M22)*24</f>
        <v>0</v>
      </c>
      <c r="O22" s="146"/>
      <c r="P22" s="146"/>
      <c r="Q22" s="147"/>
      <c r="R22" s="33"/>
      <c r="S22" s="35"/>
    </row>
    <row r="23" spans="2:19" ht="15" x14ac:dyDescent="0.3">
      <c r="B23" s="28" t="str">
        <f t="shared" si="0"/>
        <v>Mon</v>
      </c>
      <c r="C23" s="29">
        <f t="shared" si="3"/>
        <v>45761</v>
      </c>
      <c r="D23" s="68"/>
      <c r="E23" s="30" t="str">
        <f>_xlfn.XLOOKUP(D23,Values!$B$3:$B$52,Values!$C$3:$C$52,"",0,1)</f>
        <v/>
      </c>
      <c r="F23" s="30" t="str">
        <f>_xlfn.XLOOKUP(D23,Values!$B$3:$B$52,Values!$D$3:$D$52,"",0,1)</f>
        <v/>
      </c>
      <c r="G23" s="31">
        <f t="shared" si="2"/>
        <v>0</v>
      </c>
      <c r="H23" s="87"/>
      <c r="I23" s="87"/>
      <c r="J23" s="72"/>
      <c r="K23" s="32"/>
      <c r="L23" s="32"/>
      <c r="M23" s="84">
        <f t="shared" si="1"/>
        <v>0</v>
      </c>
      <c r="N23" s="146">
        <f>IF(Values!F17=TRUE,0.333333333333333+M23,M23)*24</f>
        <v>0</v>
      </c>
      <c r="O23" s="146"/>
      <c r="P23" s="146"/>
      <c r="Q23" s="147"/>
      <c r="R23" s="33"/>
      <c r="S23" s="35"/>
    </row>
    <row r="24" spans="2:19" ht="15" x14ac:dyDescent="0.3">
      <c r="B24" s="28" t="str">
        <f t="shared" si="0"/>
        <v>Tue</v>
      </c>
      <c r="C24" s="29">
        <f t="shared" si="3"/>
        <v>45762</v>
      </c>
      <c r="D24" s="68"/>
      <c r="E24" s="30" t="str">
        <f>_xlfn.XLOOKUP(D24,Values!$B$3:$B$52,Values!$C$3:$C$52,"",0,1)</f>
        <v/>
      </c>
      <c r="F24" s="30" t="str">
        <f>_xlfn.XLOOKUP(D24,Values!$B$3:$B$52,Values!$D$3:$D$52,"",0,1)</f>
        <v/>
      </c>
      <c r="G24" s="31">
        <f t="shared" si="2"/>
        <v>0</v>
      </c>
      <c r="H24" s="87"/>
      <c r="I24" s="87"/>
      <c r="J24" s="72"/>
      <c r="K24" s="32"/>
      <c r="L24" s="32"/>
      <c r="M24" s="84">
        <f t="shared" si="1"/>
        <v>0</v>
      </c>
      <c r="N24" s="146">
        <f>IF(Values!F18=TRUE,0.333333333333333+M24,M24)*24</f>
        <v>0</v>
      </c>
      <c r="O24" s="146"/>
      <c r="P24" s="146"/>
      <c r="Q24" s="147"/>
      <c r="R24" s="33"/>
      <c r="S24" s="35"/>
    </row>
    <row r="25" spans="2:19" ht="15" x14ac:dyDescent="0.3">
      <c r="B25" s="28" t="str">
        <f t="shared" si="0"/>
        <v>Wed</v>
      </c>
      <c r="C25" s="29">
        <f t="shared" si="3"/>
        <v>45763</v>
      </c>
      <c r="D25" s="68"/>
      <c r="E25" s="30" t="str">
        <f>_xlfn.XLOOKUP(D25,Values!$B$3:$B$52,Values!$C$3:$C$52,"",0,1)</f>
        <v/>
      </c>
      <c r="F25" s="30" t="str">
        <f>_xlfn.XLOOKUP(D25,Values!$B$3:$B$52,Values!$D$3:$D$52,"",0,1)</f>
        <v/>
      </c>
      <c r="G25" s="31">
        <f t="shared" si="2"/>
        <v>0</v>
      </c>
      <c r="H25" s="87"/>
      <c r="I25" s="87"/>
      <c r="J25" s="72"/>
      <c r="K25" s="32"/>
      <c r="L25" s="32"/>
      <c r="M25" s="84">
        <f t="shared" si="1"/>
        <v>0</v>
      </c>
      <c r="N25" s="146">
        <f>IF(Values!F19=TRUE,0.333333333333333+M25,M25)*24</f>
        <v>0</v>
      </c>
      <c r="O25" s="146"/>
      <c r="P25" s="146"/>
      <c r="Q25" s="147"/>
      <c r="R25" s="33"/>
      <c r="S25" s="35"/>
    </row>
    <row r="26" spans="2:19" ht="15" x14ac:dyDescent="0.3">
      <c r="B26" s="28" t="str">
        <f t="shared" si="0"/>
        <v>Thu</v>
      </c>
      <c r="C26" s="29">
        <f t="shared" si="3"/>
        <v>45764</v>
      </c>
      <c r="D26" s="68"/>
      <c r="E26" s="30" t="str">
        <f>_xlfn.XLOOKUP(D26,Values!$B$3:$B$52,Values!$C$3:$C$52,"",0,1)</f>
        <v/>
      </c>
      <c r="F26" s="30" t="str">
        <f>_xlfn.XLOOKUP(D26,Values!$B$3:$B$52,Values!$D$3:$D$52,"",0,1)</f>
        <v/>
      </c>
      <c r="G26" s="31">
        <f t="shared" si="2"/>
        <v>0</v>
      </c>
      <c r="H26" s="87"/>
      <c r="I26" s="87"/>
      <c r="J26" s="72"/>
      <c r="K26" s="32"/>
      <c r="L26" s="32"/>
      <c r="M26" s="84">
        <f t="shared" si="1"/>
        <v>0</v>
      </c>
      <c r="N26" s="146">
        <f>IF(Values!F20=TRUE,0.333333333333333+M26,M26)*24</f>
        <v>0</v>
      </c>
      <c r="O26" s="146"/>
      <c r="P26" s="146"/>
      <c r="Q26" s="147"/>
      <c r="R26" s="33"/>
      <c r="S26" s="35"/>
    </row>
    <row r="27" spans="2:19" ht="15" x14ac:dyDescent="0.3">
      <c r="B27" s="28" t="str">
        <f t="shared" si="0"/>
        <v>Fri*</v>
      </c>
      <c r="C27" s="29">
        <f t="shared" si="3"/>
        <v>45765</v>
      </c>
      <c r="D27" s="68"/>
      <c r="E27" s="30" t="str">
        <f>_xlfn.XLOOKUP(D27,Values!$B$3:$B$52,Values!$C$3:$C$52,"",0,1)</f>
        <v/>
      </c>
      <c r="F27" s="30" t="str">
        <f>_xlfn.XLOOKUP(D27,Values!$B$3:$B$52,Values!$D$3:$D$52,"",0,1)</f>
        <v/>
      </c>
      <c r="G27" s="31">
        <f t="shared" si="2"/>
        <v>0</v>
      </c>
      <c r="H27" s="87"/>
      <c r="I27" s="87"/>
      <c r="J27" s="72"/>
      <c r="K27" s="32"/>
      <c r="L27" s="32"/>
      <c r="M27" s="84">
        <f t="shared" si="1"/>
        <v>0</v>
      </c>
      <c r="N27" s="146">
        <f>IF(Values!F21=TRUE,0.333333333333333+M27,M27)*24</f>
        <v>0</v>
      </c>
      <c r="O27" s="146"/>
      <c r="P27" s="146"/>
      <c r="Q27" s="147"/>
      <c r="R27" s="33"/>
      <c r="S27" s="35"/>
    </row>
    <row r="28" spans="2:19" ht="15" x14ac:dyDescent="0.3">
      <c r="B28" s="28" t="str">
        <f t="shared" si="0"/>
        <v>Sat</v>
      </c>
      <c r="C28" s="29">
        <f t="shared" si="3"/>
        <v>45766</v>
      </c>
      <c r="D28" s="68"/>
      <c r="E28" s="30" t="str">
        <f>_xlfn.XLOOKUP(D28,Values!$B$3:$B$52,Values!$C$3:$C$52,"",0,1)</f>
        <v/>
      </c>
      <c r="F28" s="30" t="str">
        <f>_xlfn.XLOOKUP(D28,Values!$B$3:$B$52,Values!$D$3:$D$52,"",0,1)</f>
        <v/>
      </c>
      <c r="G28" s="31">
        <f t="shared" si="2"/>
        <v>0</v>
      </c>
      <c r="H28" s="87"/>
      <c r="I28" s="87"/>
      <c r="J28" s="72"/>
      <c r="K28" s="32"/>
      <c r="L28" s="32"/>
      <c r="M28" s="84">
        <f t="shared" si="1"/>
        <v>0</v>
      </c>
      <c r="N28" s="146">
        <f>IF(Values!F22=TRUE,0.333333333333333+M28,M28)*24</f>
        <v>0</v>
      </c>
      <c r="O28" s="146"/>
      <c r="P28" s="146"/>
      <c r="Q28" s="147"/>
      <c r="R28" s="33"/>
      <c r="S28" s="35"/>
    </row>
    <row r="29" spans="2:19" ht="15" x14ac:dyDescent="0.3">
      <c r="B29" s="28" t="str">
        <f t="shared" si="0"/>
        <v>Sun</v>
      </c>
      <c r="C29" s="29">
        <f t="shared" si="3"/>
        <v>45767</v>
      </c>
      <c r="D29" s="68"/>
      <c r="E29" s="30" t="str">
        <f>_xlfn.XLOOKUP(D29,Values!$B$3:$B$52,Values!$C$3:$C$52,"",0,1)</f>
        <v/>
      </c>
      <c r="F29" s="30" t="str">
        <f>_xlfn.XLOOKUP(D29,Values!$B$3:$B$52,Values!$D$3:$D$52,"",0,1)</f>
        <v/>
      </c>
      <c r="G29" s="31">
        <f t="shared" si="2"/>
        <v>0</v>
      </c>
      <c r="H29" s="87"/>
      <c r="I29" s="87"/>
      <c r="J29" s="72"/>
      <c r="K29" s="32"/>
      <c r="L29" s="32"/>
      <c r="M29" s="84">
        <f t="shared" si="1"/>
        <v>0</v>
      </c>
      <c r="N29" s="146">
        <f>IF(Values!F23=TRUE,0.333333333333333+M29,M29)*24</f>
        <v>0</v>
      </c>
      <c r="O29" s="146"/>
      <c r="P29" s="146"/>
      <c r="Q29" s="147"/>
      <c r="R29" s="33"/>
      <c r="S29" s="35"/>
    </row>
    <row r="30" spans="2:19" ht="15" x14ac:dyDescent="0.3">
      <c r="B30" s="28" t="str">
        <f t="shared" si="0"/>
        <v>Mon*</v>
      </c>
      <c r="C30" s="29">
        <f t="shared" si="3"/>
        <v>45768</v>
      </c>
      <c r="D30" s="68"/>
      <c r="E30" s="30" t="str">
        <f>_xlfn.XLOOKUP(D30,Values!$B$3:$B$52,Values!$C$3:$C$52,"",0,1)</f>
        <v/>
      </c>
      <c r="F30" s="30" t="str">
        <f>_xlfn.XLOOKUP(D30,Values!$B$3:$B$52,Values!$D$3:$D$52,"",0,1)</f>
        <v/>
      </c>
      <c r="G30" s="31">
        <f t="shared" si="2"/>
        <v>0</v>
      </c>
      <c r="H30" s="87"/>
      <c r="I30" s="87"/>
      <c r="J30" s="72"/>
      <c r="K30" s="32"/>
      <c r="L30" s="32"/>
      <c r="M30" s="84">
        <f t="shared" si="1"/>
        <v>0</v>
      </c>
      <c r="N30" s="146">
        <f>IF(Values!F24=TRUE,0.333333333333333+M30,M30)*24</f>
        <v>0</v>
      </c>
      <c r="O30" s="146"/>
      <c r="P30" s="146"/>
      <c r="Q30" s="147"/>
      <c r="R30" s="33"/>
      <c r="S30" s="35"/>
    </row>
    <row r="31" spans="2:19" ht="15" x14ac:dyDescent="0.3">
      <c r="B31" s="28" t="str">
        <f t="shared" si="0"/>
        <v>Tue</v>
      </c>
      <c r="C31" s="29">
        <f t="shared" si="3"/>
        <v>45769</v>
      </c>
      <c r="D31" s="68"/>
      <c r="E31" s="30" t="str">
        <f>_xlfn.XLOOKUP(D31,Values!$B$3:$B$52,Values!$C$3:$C$52,"",0,1)</f>
        <v/>
      </c>
      <c r="F31" s="30" t="str">
        <f>_xlfn.XLOOKUP(D31,Values!$B$3:$B$52,Values!$D$3:$D$52,"",0,1)</f>
        <v/>
      </c>
      <c r="G31" s="31">
        <f t="shared" si="2"/>
        <v>0</v>
      </c>
      <c r="H31" s="87"/>
      <c r="I31" s="87"/>
      <c r="J31" s="72"/>
      <c r="K31" s="32"/>
      <c r="L31" s="32"/>
      <c r="M31" s="84">
        <f t="shared" si="1"/>
        <v>0</v>
      </c>
      <c r="N31" s="146">
        <f>IF(Values!F25=TRUE,0.333333333333333+M31,M31)*24</f>
        <v>0</v>
      </c>
      <c r="O31" s="146"/>
      <c r="P31" s="146"/>
      <c r="Q31" s="147"/>
      <c r="R31" s="33"/>
      <c r="S31" s="35"/>
    </row>
    <row r="32" spans="2:19" ht="15" x14ac:dyDescent="0.3">
      <c r="B32" s="28" t="str">
        <f t="shared" si="0"/>
        <v>Wed</v>
      </c>
      <c r="C32" s="29">
        <f t="shared" si="3"/>
        <v>45770</v>
      </c>
      <c r="D32" s="68"/>
      <c r="E32" s="30" t="str">
        <f>_xlfn.XLOOKUP(D32,Values!$B$3:$B$52,Values!$C$3:$C$52,"",0,1)</f>
        <v/>
      </c>
      <c r="F32" s="30" t="str">
        <f>_xlfn.XLOOKUP(D32,Values!$B$3:$B$52,Values!$D$3:$D$52,"",0,1)</f>
        <v/>
      </c>
      <c r="G32" s="31">
        <f t="shared" si="2"/>
        <v>0</v>
      </c>
      <c r="H32" s="87"/>
      <c r="I32" s="87"/>
      <c r="J32" s="72"/>
      <c r="K32" s="32"/>
      <c r="L32" s="32"/>
      <c r="M32" s="84">
        <f t="shared" si="1"/>
        <v>0</v>
      </c>
      <c r="N32" s="146">
        <f>IF(Values!F26=TRUE,0.333333333333333+M32,M32)*24</f>
        <v>0</v>
      </c>
      <c r="O32" s="146"/>
      <c r="P32" s="146"/>
      <c r="Q32" s="147"/>
      <c r="R32" s="33"/>
      <c r="S32" s="35"/>
    </row>
    <row r="33" spans="2:22" ht="15" x14ac:dyDescent="0.3">
      <c r="B33" s="36" t="str">
        <f t="shared" si="0"/>
        <v>Thu</v>
      </c>
      <c r="C33" s="37">
        <f t="shared" si="3"/>
        <v>45771</v>
      </c>
      <c r="D33" s="68"/>
      <c r="E33" s="30" t="str">
        <f>_xlfn.XLOOKUP(D33,Values!$B$3:$B$52,Values!$C$3:$C$52,"",0,1)</f>
        <v/>
      </c>
      <c r="F33" s="30" t="str">
        <f>_xlfn.XLOOKUP(D33,Values!$B$3:$B$52,Values!$D$3:$D$52,"",0,1)</f>
        <v/>
      </c>
      <c r="G33" s="31">
        <f t="shared" si="2"/>
        <v>0</v>
      </c>
      <c r="H33" s="87"/>
      <c r="I33" s="87"/>
      <c r="J33" s="72"/>
      <c r="K33" s="32"/>
      <c r="L33" s="32"/>
      <c r="M33" s="84">
        <f t="shared" si="1"/>
        <v>0</v>
      </c>
      <c r="N33" s="146">
        <f>IF(Values!F28=TRUE,0.333333333333333+M33,M33)*24</f>
        <v>0</v>
      </c>
      <c r="O33" s="146"/>
      <c r="P33" s="146"/>
      <c r="Q33" s="147"/>
      <c r="R33" s="33"/>
      <c r="S33" s="35"/>
    </row>
    <row r="34" spans="2:22" ht="15" x14ac:dyDescent="0.3">
      <c r="B34" s="28" t="str">
        <f t="shared" si="0"/>
        <v>Fri</v>
      </c>
      <c r="C34" s="29">
        <f t="shared" si="3"/>
        <v>45772</v>
      </c>
      <c r="D34" s="68"/>
      <c r="E34" s="30" t="str">
        <f>_xlfn.XLOOKUP(D34,Values!$B$3:$B$52,Values!$C$3:$C$52,"",0,1)</f>
        <v/>
      </c>
      <c r="F34" s="30" t="str">
        <f>_xlfn.XLOOKUP(D34,Values!$B$3:$B$52,Values!$D$3:$D$52,"",0,1)</f>
        <v/>
      </c>
      <c r="G34" s="31">
        <f t="shared" si="2"/>
        <v>0</v>
      </c>
      <c r="H34" s="87"/>
      <c r="I34" s="87"/>
      <c r="J34" s="72"/>
      <c r="K34" s="32"/>
      <c r="L34" s="32"/>
      <c r="M34" s="84">
        <f t="shared" si="1"/>
        <v>0</v>
      </c>
      <c r="N34" s="146">
        <f>IF(Values!F32=TRUE,0.333333333333333+M34,M34)*24</f>
        <v>0</v>
      </c>
      <c r="O34" s="146"/>
      <c r="P34" s="146"/>
      <c r="Q34" s="147"/>
      <c r="R34" s="33"/>
      <c r="S34" s="35"/>
    </row>
    <row r="35" spans="2:22" ht="15" x14ac:dyDescent="0.3">
      <c r="B35" s="28" t="str">
        <f t="shared" si="0"/>
        <v>Sat</v>
      </c>
      <c r="C35" s="29">
        <f t="shared" si="3"/>
        <v>45773</v>
      </c>
      <c r="D35" s="68"/>
      <c r="E35" s="30" t="str">
        <f>_xlfn.XLOOKUP(D35,Values!$B$3:$B$52,Values!$C$3:$C$52,"",0,1)</f>
        <v/>
      </c>
      <c r="F35" s="30" t="str">
        <f>_xlfn.XLOOKUP(D35,Values!$B$3:$B$52,Values!$D$3:$D$52,"",0,1)</f>
        <v/>
      </c>
      <c r="G35" s="31">
        <f t="shared" si="2"/>
        <v>0</v>
      </c>
      <c r="H35" s="87"/>
      <c r="I35" s="87"/>
      <c r="J35" s="72"/>
      <c r="K35" s="32"/>
      <c r="L35" s="32"/>
      <c r="M35" s="84">
        <f t="shared" si="1"/>
        <v>0</v>
      </c>
      <c r="N35" s="146">
        <f>IF(Values!F33=TRUE,0.333333333333333+M35,M35)*24</f>
        <v>0</v>
      </c>
      <c r="O35" s="146"/>
      <c r="P35" s="146"/>
      <c r="Q35" s="147"/>
      <c r="R35" s="33"/>
      <c r="S35" s="35"/>
    </row>
    <row r="36" spans="2:22" ht="15" x14ac:dyDescent="0.3">
      <c r="B36" s="28" t="str">
        <f t="shared" si="0"/>
        <v>Sun</v>
      </c>
      <c r="C36" s="29">
        <f t="shared" si="3"/>
        <v>45774</v>
      </c>
      <c r="D36" s="68"/>
      <c r="E36" s="30" t="str">
        <f>_xlfn.XLOOKUP(D36,Values!$B$3:$B$52,Values!$C$3:$C$52,"",0,1)</f>
        <v/>
      </c>
      <c r="F36" s="30" t="str">
        <f>_xlfn.XLOOKUP(D36,Values!$B$3:$B$52,Values!$D$3:$D$52,"",0,1)</f>
        <v/>
      </c>
      <c r="G36" s="31">
        <f t="shared" si="2"/>
        <v>0</v>
      </c>
      <c r="H36" s="87"/>
      <c r="I36" s="87"/>
      <c r="J36" s="72"/>
      <c r="K36" s="32"/>
      <c r="L36" s="32"/>
      <c r="M36" s="84">
        <f t="shared" si="1"/>
        <v>0</v>
      </c>
      <c r="N36" s="146">
        <f>IF(Values!F34=TRUE,0.333333333333333+M36,M36)*24</f>
        <v>0</v>
      </c>
      <c r="O36" s="146"/>
      <c r="P36" s="146"/>
      <c r="Q36" s="147"/>
      <c r="R36" s="33"/>
      <c r="S36" s="35"/>
    </row>
    <row r="37" spans="2:22" ht="15" x14ac:dyDescent="0.3">
      <c r="B37" s="28" t="str">
        <f t="shared" si="0"/>
        <v>Mon</v>
      </c>
      <c r="C37" s="29">
        <f t="shared" si="3"/>
        <v>45775</v>
      </c>
      <c r="D37" s="68"/>
      <c r="E37" s="30" t="str">
        <f>_xlfn.XLOOKUP(D37,Values!$B$3:$B$52,Values!$C$3:$C$52,"",0,1)</f>
        <v/>
      </c>
      <c r="F37" s="30" t="str">
        <f>_xlfn.XLOOKUP(D37,Values!$B$3:$B$52,Values!$D$3:$D$52,"",0,1)</f>
        <v/>
      </c>
      <c r="G37" s="31">
        <f t="shared" si="2"/>
        <v>0</v>
      </c>
      <c r="H37" s="87"/>
      <c r="I37" s="87"/>
      <c r="J37" s="72"/>
      <c r="K37" s="32"/>
      <c r="L37" s="32"/>
      <c r="M37" s="84">
        <f t="shared" si="1"/>
        <v>0</v>
      </c>
      <c r="N37" s="146">
        <f>IF(Values!F35=TRUE,0.333333333333333+M37,M37)*24</f>
        <v>0</v>
      </c>
      <c r="O37" s="146"/>
      <c r="P37" s="146"/>
      <c r="Q37" s="147"/>
      <c r="R37" s="33"/>
      <c r="S37" s="35"/>
    </row>
    <row r="38" spans="2:22" ht="15" x14ac:dyDescent="0.3">
      <c r="B38" s="28" t="str">
        <f t="shared" si="0"/>
        <v>Tue</v>
      </c>
      <c r="C38" s="29">
        <f>IF(MONTH(C37+1)=MONTH(C37),C37+1,"")</f>
        <v>45776</v>
      </c>
      <c r="D38" s="68"/>
      <c r="E38" s="30" t="str">
        <f>_xlfn.XLOOKUP(D38,Values!$B$3:$B$52,Values!$C$3:$C$52,"",0,1)</f>
        <v/>
      </c>
      <c r="F38" s="30" t="str">
        <f>_xlfn.XLOOKUP(D38,Values!$B$3:$B$52,Values!$D$3:$D$52,"",0,1)</f>
        <v/>
      </c>
      <c r="G38" s="31">
        <f t="shared" si="2"/>
        <v>0</v>
      </c>
      <c r="H38" s="87"/>
      <c r="I38" s="87"/>
      <c r="J38" s="72"/>
      <c r="K38" s="32"/>
      <c r="L38" s="32"/>
      <c r="M38" s="84">
        <f t="shared" si="1"/>
        <v>0</v>
      </c>
      <c r="N38" s="146">
        <f>IF(Values!F36=TRUE,0.333333333333333+M38,M38)*24</f>
        <v>0</v>
      </c>
      <c r="O38" s="146"/>
      <c r="P38" s="146"/>
      <c r="Q38" s="147"/>
      <c r="R38" s="33"/>
      <c r="S38" s="35"/>
    </row>
    <row r="39" spans="2:22" ht="15" x14ac:dyDescent="0.3">
      <c r="B39" s="28" t="str">
        <f t="shared" si="0"/>
        <v>Wed</v>
      </c>
      <c r="C39" s="29">
        <f>IF(MONTH(C37+2)=MONTH(C37),C37+2,"")</f>
        <v>45777</v>
      </c>
      <c r="D39" s="68"/>
      <c r="E39" s="30" t="str">
        <f>_xlfn.XLOOKUP(D39,Values!$B$3:$B$52,Values!$C$3:$C$52,"",0,1)</f>
        <v/>
      </c>
      <c r="F39" s="30" t="str">
        <f>_xlfn.XLOOKUP(D39,Values!$B$3:$B$52,Values!$D$3:$D$52,"",0,1)</f>
        <v/>
      </c>
      <c r="G39" s="31">
        <f t="shared" si="2"/>
        <v>0</v>
      </c>
      <c r="H39" s="87"/>
      <c r="I39" s="87"/>
      <c r="J39" s="72"/>
      <c r="K39" s="32"/>
      <c r="L39" s="32"/>
      <c r="M39" s="84">
        <f t="shared" si="1"/>
        <v>0</v>
      </c>
      <c r="N39" s="146">
        <f>IF(Values!F37=TRUE,0.333333333333333+M39,M39)*24</f>
        <v>0</v>
      </c>
      <c r="O39" s="146"/>
      <c r="P39" s="146"/>
      <c r="Q39" s="147"/>
      <c r="R39" s="33"/>
      <c r="S39" s="35"/>
    </row>
    <row r="40" spans="2:22" ht="15" x14ac:dyDescent="0.3">
      <c r="B40" s="28" t="str">
        <f t="shared" si="0"/>
        <v/>
      </c>
      <c r="C40" s="29" t="str">
        <f>IF(MONTH(C37+3)=MONTH(C37),C37+3,"")</f>
        <v/>
      </c>
      <c r="D40" s="68"/>
      <c r="E40" s="30" t="str">
        <f>_xlfn.XLOOKUP(D40,Values!$B$3:$B$52,Values!$C$3:$C$52,"",0,1)</f>
        <v/>
      </c>
      <c r="F40" s="30" t="str">
        <f>_xlfn.XLOOKUP(D40,Values!$B$3:$B$52,Values!$D$3:$D$52,"",0,1)</f>
        <v/>
      </c>
      <c r="G40" s="31">
        <f t="shared" si="2"/>
        <v>0</v>
      </c>
      <c r="H40" s="87"/>
      <c r="I40" s="87"/>
      <c r="J40" s="72"/>
      <c r="K40" s="32"/>
      <c r="L40" s="32"/>
      <c r="M40" s="84">
        <f t="shared" si="1"/>
        <v>0</v>
      </c>
      <c r="N40" s="146">
        <f>IF(Values!F38=TRUE,0.333333333333333+M40,M40)*24</f>
        <v>0</v>
      </c>
      <c r="O40" s="146"/>
      <c r="P40" s="146"/>
      <c r="Q40" s="147"/>
      <c r="R40" s="33"/>
      <c r="S40" s="35"/>
    </row>
    <row r="41" spans="2:22" ht="15" x14ac:dyDescent="0.2">
      <c r="B41" s="126" t="s">
        <v>18</v>
      </c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85"/>
      <c r="N41" s="146">
        <f>IF(Values!F39=TRUE,0.333333333333333+M41,M41)*24</f>
        <v>0</v>
      </c>
      <c r="O41" s="146"/>
      <c r="P41" s="146"/>
      <c r="Q41" s="147"/>
      <c r="R41" s="33"/>
      <c r="S41" s="35"/>
    </row>
    <row r="42" spans="2:22" ht="15" x14ac:dyDescent="0.2">
      <c r="B42" s="128" t="s">
        <v>19</v>
      </c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85"/>
      <c r="N42" s="146">
        <f>IF(Values!F40=TRUE,0.333333333333333+M42,M42)*24</f>
        <v>0</v>
      </c>
      <c r="O42" s="146"/>
      <c r="P42" s="146"/>
      <c r="Q42" s="147"/>
      <c r="R42" s="33"/>
      <c r="S42" s="35"/>
    </row>
    <row r="43" spans="2:22" ht="3" customHeight="1" thickBot="1" x14ac:dyDescent="0.4">
      <c r="B43" s="38"/>
      <c r="C43" s="38"/>
      <c r="D43" s="38"/>
      <c r="E43" s="39"/>
      <c r="F43" s="39"/>
      <c r="G43" s="39"/>
      <c r="H43" s="40" t="s">
        <v>20</v>
      </c>
      <c r="I43" s="40"/>
      <c r="J43" s="40"/>
      <c r="K43" s="40"/>
      <c r="L43" s="40"/>
      <c r="M43" s="40" t="s">
        <v>20</v>
      </c>
      <c r="N43" s="40" t="s">
        <v>20</v>
      </c>
      <c r="O43" s="38"/>
      <c r="P43" s="38"/>
      <c r="Q43" s="38"/>
      <c r="S43" s="41"/>
      <c r="V43" s="35"/>
    </row>
    <row r="44" spans="2:22" ht="18.75" customHeight="1" x14ac:dyDescent="0.2">
      <c r="B44" s="130" t="s">
        <v>21</v>
      </c>
      <c r="C44" s="131"/>
      <c r="D44" s="131"/>
      <c r="E44" s="131"/>
      <c r="F44" s="131"/>
      <c r="G44" s="131"/>
      <c r="H44" s="131"/>
      <c r="I44" s="131"/>
      <c r="J44" s="131"/>
      <c r="K44" s="131"/>
      <c r="L44" s="132"/>
      <c r="M44" s="91" t="s">
        <v>22</v>
      </c>
      <c r="N44" s="92"/>
      <c r="O44" s="92"/>
      <c r="P44" s="92"/>
      <c r="Q44" s="93"/>
      <c r="V44" s="42"/>
    </row>
    <row r="45" spans="2:22" ht="18.75" customHeight="1" thickBot="1" x14ac:dyDescent="0.25">
      <c r="B45" s="133"/>
      <c r="C45" s="134"/>
      <c r="D45" s="134"/>
      <c r="E45" s="134"/>
      <c r="F45" s="134"/>
      <c r="G45" s="134"/>
      <c r="H45" s="134"/>
      <c r="I45" s="134"/>
      <c r="J45" s="134"/>
      <c r="K45" s="134"/>
      <c r="L45" s="135"/>
      <c r="M45" s="136"/>
      <c r="N45" s="137"/>
      <c r="O45" s="137"/>
      <c r="P45" s="137"/>
      <c r="Q45" s="138"/>
      <c r="V45" s="42"/>
    </row>
    <row r="46" spans="2:22" ht="18.75" customHeight="1" x14ac:dyDescent="0.2">
      <c r="B46" s="158" t="s">
        <v>72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60"/>
      <c r="M46" s="89" t="s">
        <v>65</v>
      </c>
      <c r="N46" s="89"/>
      <c r="O46" s="89"/>
      <c r="P46" s="89"/>
      <c r="Q46" s="90"/>
      <c r="S46" s="41"/>
    </row>
    <row r="47" spans="2:22" ht="18.75" customHeight="1" x14ac:dyDescent="0.2">
      <c r="B47" s="143"/>
      <c r="C47" s="144"/>
      <c r="D47" s="144"/>
      <c r="E47" s="144"/>
      <c r="F47" s="144"/>
      <c r="G47" s="144"/>
      <c r="H47" s="144"/>
      <c r="I47" s="144"/>
      <c r="J47" s="144"/>
      <c r="K47" s="144"/>
      <c r="L47" s="145"/>
      <c r="M47" s="139"/>
      <c r="N47" s="139"/>
      <c r="O47" s="139"/>
      <c r="P47" s="139"/>
      <c r="Q47" s="140"/>
    </row>
    <row r="48" spans="2:22" ht="18" customHeight="1" x14ac:dyDescent="0.2">
      <c r="B48" s="143"/>
      <c r="C48" s="144"/>
      <c r="D48" s="144"/>
      <c r="E48" s="144"/>
      <c r="F48" s="144"/>
      <c r="G48" s="144"/>
      <c r="H48" s="144"/>
      <c r="I48" s="144"/>
      <c r="J48" s="144"/>
      <c r="K48" s="144"/>
      <c r="L48" s="145"/>
      <c r="M48" s="43" t="s">
        <v>66</v>
      </c>
      <c r="N48" s="43"/>
      <c r="O48" s="43"/>
      <c r="P48" s="43"/>
      <c r="Q48" s="44"/>
    </row>
    <row r="49" spans="2:18" ht="18" customHeight="1" x14ac:dyDescent="0.2">
      <c r="B49" s="143"/>
      <c r="C49" s="144"/>
      <c r="D49" s="144"/>
      <c r="E49" s="144"/>
      <c r="F49" s="144"/>
      <c r="G49" s="144"/>
      <c r="H49" s="144"/>
      <c r="I49" s="144"/>
      <c r="J49" s="144"/>
      <c r="K49" s="144"/>
      <c r="L49" s="145"/>
      <c r="M49" s="141"/>
      <c r="N49" s="141"/>
      <c r="O49" s="141"/>
      <c r="P49" s="141"/>
      <c r="Q49" s="142"/>
      <c r="R49" s="45"/>
    </row>
    <row r="50" spans="2:18" ht="18" customHeight="1" x14ac:dyDescent="0.2">
      <c r="B50" s="143"/>
      <c r="C50" s="144"/>
      <c r="D50" s="144"/>
      <c r="E50" s="144"/>
      <c r="F50" s="144"/>
      <c r="G50" s="144"/>
      <c r="H50" s="144"/>
      <c r="I50" s="144"/>
      <c r="J50" s="144"/>
      <c r="K50" s="144"/>
      <c r="L50" s="145"/>
      <c r="M50" s="122"/>
      <c r="N50" s="122"/>
      <c r="O50" s="122"/>
      <c r="P50" s="122"/>
      <c r="Q50" s="123"/>
    </row>
    <row r="51" spans="2:18" ht="18" customHeight="1" thickBot="1" x14ac:dyDescent="0.25">
      <c r="B51" s="143"/>
      <c r="C51" s="144"/>
      <c r="D51" s="144"/>
      <c r="E51" s="144"/>
      <c r="F51" s="144"/>
      <c r="G51" s="144"/>
      <c r="H51" s="144"/>
      <c r="I51" s="144"/>
      <c r="J51" s="144"/>
      <c r="K51" s="144"/>
      <c r="L51" s="145"/>
      <c r="M51" s="124"/>
      <c r="N51" s="124"/>
      <c r="O51" s="124"/>
      <c r="P51" s="124"/>
      <c r="Q51" s="125"/>
    </row>
    <row r="52" spans="2:18" ht="16.5" thickBot="1" x14ac:dyDescent="0.3">
      <c r="B52" s="161"/>
      <c r="C52" s="162"/>
      <c r="D52" s="162"/>
      <c r="E52" s="162"/>
      <c r="F52" s="162"/>
      <c r="G52" s="162"/>
      <c r="H52" s="162"/>
      <c r="I52" s="162"/>
      <c r="J52" s="162"/>
      <c r="K52" s="162"/>
      <c r="L52" s="163"/>
      <c r="Q52" s="74" t="s">
        <v>89</v>
      </c>
      <c r="R52" s="73"/>
    </row>
  </sheetData>
  <sheetProtection algorithmName="SHA-512" hashValue="PuNQ+ciJprP6oPmAE3o656THzOU2zqunH5S2B9aKhnrUl6rdj8cJhjSbHaivRysyPOq50MP6+/e4M9sWT2wu9w==" saltValue="a48F3xpPovgRMJWh8YbJBQ==" spinCount="100000" sheet="1" selectLockedCells="1"/>
  <mergeCells count="62">
    <mergeCell ref="N39:Q39"/>
    <mergeCell ref="N40:Q40"/>
    <mergeCell ref="N34:Q34"/>
    <mergeCell ref="N35:Q35"/>
    <mergeCell ref="N36:Q36"/>
    <mergeCell ref="N37:Q37"/>
    <mergeCell ref="N38:Q38"/>
    <mergeCell ref="N29:Q29"/>
    <mergeCell ref="N30:Q30"/>
    <mergeCell ref="N31:Q31"/>
    <mergeCell ref="N32:Q32"/>
    <mergeCell ref="N33:Q33"/>
    <mergeCell ref="N24:Q24"/>
    <mergeCell ref="N25:Q25"/>
    <mergeCell ref="N26:Q26"/>
    <mergeCell ref="N27:Q27"/>
    <mergeCell ref="N28:Q28"/>
    <mergeCell ref="N19:Q19"/>
    <mergeCell ref="N20:Q20"/>
    <mergeCell ref="N21:Q21"/>
    <mergeCell ref="N22:Q22"/>
    <mergeCell ref="N23:Q23"/>
    <mergeCell ref="N13:Q13"/>
    <mergeCell ref="N6:Q9"/>
    <mergeCell ref="N16:Q16"/>
    <mergeCell ref="N17:Q17"/>
    <mergeCell ref="N18:Q18"/>
    <mergeCell ref="B52:L52"/>
    <mergeCell ref="B2:C2"/>
    <mergeCell ref="D2:F2"/>
    <mergeCell ref="N2:O4"/>
    <mergeCell ref="P2:Q4"/>
    <mergeCell ref="B3:C3"/>
    <mergeCell ref="D3:F3"/>
    <mergeCell ref="D4:F4"/>
    <mergeCell ref="J6:M7"/>
    <mergeCell ref="J8:J9"/>
    <mergeCell ref="I6:I9"/>
    <mergeCell ref="N14:Q14"/>
    <mergeCell ref="N15:Q15"/>
    <mergeCell ref="N10:Q10"/>
    <mergeCell ref="N11:Q11"/>
    <mergeCell ref="N12:Q12"/>
    <mergeCell ref="E6:G7"/>
    <mergeCell ref="B8:B9"/>
    <mergeCell ref="C8:C9"/>
    <mergeCell ref="D8:D9"/>
    <mergeCell ref="B46:L46"/>
    <mergeCell ref="M50:Q51"/>
    <mergeCell ref="B41:L41"/>
    <mergeCell ref="B42:L42"/>
    <mergeCell ref="B44:L45"/>
    <mergeCell ref="M45:Q45"/>
    <mergeCell ref="M47:Q47"/>
    <mergeCell ref="M49:Q49"/>
    <mergeCell ref="B47:L47"/>
    <mergeCell ref="B48:L48"/>
    <mergeCell ref="B49:L49"/>
    <mergeCell ref="B50:L50"/>
    <mergeCell ref="B51:L51"/>
    <mergeCell ref="N41:Q41"/>
    <mergeCell ref="N42:Q42"/>
  </mergeCells>
  <conditionalFormatting sqref="B10:B40">
    <cfRule type="endsWith" dxfId="29" priority="32" operator="endsWith" text="*">
      <formula>RIGHT(B10,LEN("*"))="*"</formula>
    </cfRule>
  </conditionalFormatting>
  <conditionalFormatting sqref="B10:B42">
    <cfRule type="cellIs" dxfId="28" priority="43" stopIfTrue="1" operator="equal">
      <formula>"Sat"</formula>
    </cfRule>
    <cfRule type="cellIs" dxfId="27" priority="44" stopIfTrue="1" operator="equal">
      <formula>"Sun"</formula>
    </cfRule>
  </conditionalFormatting>
  <conditionalFormatting sqref="H10:J40">
    <cfRule type="cellIs" dxfId="26" priority="42" stopIfTrue="1" operator="equal">
      <formula>"Y"</formula>
    </cfRule>
  </conditionalFormatting>
  <conditionalFormatting sqref="M10:M42">
    <cfRule type="cellIs" dxfId="25" priority="41" stopIfTrue="1" operator="equal">
      <formula>0</formula>
    </cfRule>
  </conditionalFormatting>
  <conditionalFormatting sqref="N10:N42">
    <cfRule type="cellIs" dxfId="24" priority="40" stopIfTrue="1" operator="greaterThan">
      <formula>0</formula>
    </cfRule>
  </conditionalFormatting>
  <conditionalFormatting sqref="P2:Q4">
    <cfRule type="timePeriod" dxfId="23" priority="31" timePeriod="thisMonth">
      <formula>AND(MONTH(P2)=MONTH(TODAY()),YEAR(P2)=YEAR(TODAY()))</formula>
    </cfRule>
  </conditionalFormatting>
  <conditionalFormatting sqref="D10:D40">
    <cfRule type="containsText" dxfId="22" priority="1" operator="containsText" text="Driving">
      <formula>NOT(ISERROR(SEARCH("Driving",D10)))</formula>
    </cfRule>
    <cfRule type="containsText" dxfId="21" priority="4" operator="containsText" text="for times">
      <formula>NOT(ISERROR(SEARCH("for times",D10)))</formula>
    </cfRule>
    <cfRule type="containsText" dxfId="20" priority="5" operator="containsText" text="Rail">
      <formula>NOT(ISERROR(SEARCH("Rail",D10)))</formula>
    </cfRule>
    <cfRule type="containsText" dxfId="19" priority="6" operator="containsText" text="Absent">
      <formula>NOT(ISERROR(SEARCH("Absent",D10)))</formula>
    </cfRule>
    <cfRule type="containsText" dxfId="18" priority="13" operator="containsText" text="Other">
      <formula>NOT(ISERROR(SEARCH("Other",D10)))</formula>
    </cfRule>
    <cfRule type="containsText" dxfId="17" priority="14" operator="containsText" text="B/H">
      <formula>NOT(ISERROR(SEARCH("B/H",D10)))</formula>
    </cfRule>
    <cfRule type="containsText" dxfId="16" priority="16" operator="containsText" text="NSPARE">
      <formula>NOT(ISERROR(SEARCH("NSPARE",D10)))</formula>
    </cfRule>
    <cfRule type="containsText" dxfId="15" priority="17" operator="containsText" text="NRFW">
      <formula>NOT(ISERROR(SEARCH("NRFW",D10)))</formula>
    </cfRule>
    <cfRule type="containsText" dxfId="14" priority="18" operator="containsText" text="NVSX">
      <formula>NOT(ISERROR(SEARCH("NVSX",D10)))</formula>
    </cfRule>
    <cfRule type="containsText" dxfId="13" priority="19" operator="containsText" text="NSOVRP">
      <formula>NOT(ISERROR(SEARCH("NSOVRP",D10)))</formula>
    </cfRule>
    <cfRule type="containsText" dxfId="12" priority="20" operator="containsText" text="NRFW">
      <formula>NOT(ISERROR(SEARCH("NRFW",D10)))</formula>
    </cfRule>
    <cfRule type="containsText" dxfId="11" priority="21" operator="containsText" text="NSOVRP ">
      <formula>NOT(ISERROR(SEARCH("NSOVRP ",D10)))</formula>
    </cfRule>
    <cfRule type="containsText" dxfId="10" priority="22" operator="containsText" text="Rest">
      <formula>NOT(ISERROR(SEARCH("Rest",D10)))</formula>
    </cfRule>
    <cfRule type="containsText" dxfId="9" priority="23" operator="containsText" text="SK">
      <formula>NOT(ISERROR(SEARCH("SK",D10)))</formula>
    </cfRule>
    <cfRule type="containsText" dxfId="8" priority="24" operator="containsText" text="A/H">
      <formula>NOT(ISERROR(SEARCH("A/H",D10)))</formula>
    </cfRule>
    <cfRule type="containsText" dxfId="7" priority="25" operator="containsText" text="OR">
      <formula>NOT(ISERROR(SEARCH("OR",D10)))</formula>
    </cfRule>
  </conditionalFormatting>
  <conditionalFormatting sqref="D3:F3">
    <cfRule type="cellIs" dxfId="6" priority="15" stopIfTrue="1" operator="equal">
      <formula>$B$6</formula>
    </cfRule>
  </conditionalFormatting>
  <conditionalFormatting sqref="E10:E40">
    <cfRule type="containsText" dxfId="5" priority="12" operator="containsText" text="See">
      <formula>NOT(ISERROR(SEARCH("See",E10)))</formula>
    </cfRule>
  </conditionalFormatting>
  <conditionalFormatting sqref="F10:F40">
    <cfRule type="containsText" dxfId="4" priority="2" operator="containsText" text="for details">
      <formula>NOT(ISERROR(SEARCH("for details",F10)))</formula>
    </cfRule>
    <cfRule type="containsText" dxfId="3" priority="3" operator="containsText" text="for times">
      <formula>NOT(ISERROR(SEARCH("for times",F10)))</formula>
    </cfRule>
    <cfRule type="containsText" dxfId="2" priority="11" operator="containsText" text="Notes">
      <formula>NOT(ISERROR(SEARCH("Notes",F10)))</formula>
    </cfRule>
  </conditionalFormatting>
  <conditionalFormatting sqref="D2:F2">
    <cfRule type="cellIs" dxfId="1" priority="10" stopIfTrue="1" operator="equal">
      <formula>$B$6</formula>
    </cfRule>
  </conditionalFormatting>
  <conditionalFormatting sqref="D4">
    <cfRule type="cellIs" dxfId="0" priority="9" stopIfTrue="1" operator="equal">
      <formula>$B$6</formula>
    </cfRule>
  </conditionalFormatting>
  <dataValidations count="6">
    <dataValidation type="time"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WVP983049:WVP983079 JA10:JA40 SW10:SW40 ACS10:ACS40 AMO10:AMO40 AWK10:AWK40 BGG10:BGG40 BQC10:BQC40 BZY10:BZY40 CJU10:CJU40 CTQ10:CTQ40 DDM10:DDM40 DNI10:DNI40 DXE10:DXE40 EHA10:EHA40 EQW10:EQW40 FAS10:FAS40 FKO10:FKO40 FUK10:FUK40 GEG10:GEG40 GOC10:GOC40 GXY10:GXY40 HHU10:HHU40 HRQ10:HRQ40 IBM10:IBM40 ILI10:ILI40 IVE10:IVE40 JFA10:JFA40 JOW10:JOW40 JYS10:JYS40 KIO10:KIO40 KSK10:KSK40 LCG10:LCG40 LMC10:LMC40 LVY10:LVY40 MFU10:MFU40 MPQ10:MPQ40 MZM10:MZM40 NJI10:NJI40 NTE10:NTE40 ODA10:ODA40 OMW10:OMW40 OWS10:OWS40 PGO10:PGO40 PQK10:PQK40 QAG10:QAG40 QKC10:QKC40 QTY10:QTY40 RDU10:RDU40 RNQ10:RNQ40 RXM10:RXM40 SHI10:SHI40 SRE10:SRE40 TBA10:TBA40 TKW10:TKW40 TUS10:TUS40 UEO10:UEO40 UOK10:UOK40 UYG10:UYG40 VIC10:VIC40 VRY10:VRY40 WBU10:WBU40 WLQ10:WLQ40 WVM10:WVM40 F65545:F65575 JD65545:JD65575 SZ65545:SZ65575 ACV65545:ACV65575 AMR65545:AMR65575 AWN65545:AWN65575 BGJ65545:BGJ65575 BQF65545:BQF65575 CAB65545:CAB65575 CJX65545:CJX65575 CTT65545:CTT65575 DDP65545:DDP65575 DNL65545:DNL65575 DXH65545:DXH65575 EHD65545:EHD65575 EQZ65545:EQZ65575 FAV65545:FAV65575 FKR65545:FKR65575 FUN65545:FUN65575 GEJ65545:GEJ65575 GOF65545:GOF65575 GYB65545:GYB65575 HHX65545:HHX65575 HRT65545:HRT65575 IBP65545:IBP65575 ILL65545:ILL65575 IVH65545:IVH65575 JFD65545:JFD65575 JOZ65545:JOZ65575 JYV65545:JYV65575 KIR65545:KIR65575 KSN65545:KSN65575 LCJ65545:LCJ65575 LMF65545:LMF65575 LWB65545:LWB65575 MFX65545:MFX65575 MPT65545:MPT65575 MZP65545:MZP65575 NJL65545:NJL65575 NTH65545:NTH65575 ODD65545:ODD65575 OMZ65545:OMZ65575 OWV65545:OWV65575 PGR65545:PGR65575 PQN65545:PQN65575 QAJ65545:QAJ65575 QKF65545:QKF65575 QUB65545:QUB65575 RDX65545:RDX65575 RNT65545:RNT65575 RXP65545:RXP65575 SHL65545:SHL65575 SRH65545:SRH65575 TBD65545:TBD65575 TKZ65545:TKZ65575 TUV65545:TUV65575 UER65545:UER65575 UON65545:UON65575 UYJ65545:UYJ65575 VIF65545:VIF65575 VSB65545:VSB65575 WBX65545:WBX65575 WLT65545:WLT65575 WVP65545:WVP65575 F131081:F131111 JD131081:JD131111 SZ131081:SZ131111 ACV131081:ACV131111 AMR131081:AMR131111 AWN131081:AWN131111 BGJ131081:BGJ131111 BQF131081:BQF131111 CAB131081:CAB131111 CJX131081:CJX131111 CTT131081:CTT131111 DDP131081:DDP131111 DNL131081:DNL131111 DXH131081:DXH131111 EHD131081:EHD131111 EQZ131081:EQZ131111 FAV131081:FAV131111 FKR131081:FKR131111 FUN131081:FUN131111 GEJ131081:GEJ131111 GOF131081:GOF131111 GYB131081:GYB131111 HHX131081:HHX131111 HRT131081:HRT131111 IBP131081:IBP131111 ILL131081:ILL131111 IVH131081:IVH131111 JFD131081:JFD131111 JOZ131081:JOZ131111 JYV131081:JYV131111 KIR131081:KIR131111 KSN131081:KSN131111 LCJ131081:LCJ131111 LMF131081:LMF131111 LWB131081:LWB131111 MFX131081:MFX131111 MPT131081:MPT131111 MZP131081:MZP131111 NJL131081:NJL131111 NTH131081:NTH131111 ODD131081:ODD131111 OMZ131081:OMZ131111 OWV131081:OWV131111 PGR131081:PGR131111 PQN131081:PQN131111 QAJ131081:QAJ131111 QKF131081:QKF131111 QUB131081:QUB131111 RDX131081:RDX131111 RNT131081:RNT131111 RXP131081:RXP131111 SHL131081:SHL131111 SRH131081:SRH131111 TBD131081:TBD131111 TKZ131081:TKZ131111 TUV131081:TUV131111 UER131081:UER131111 UON131081:UON131111 UYJ131081:UYJ131111 VIF131081:VIF131111 VSB131081:VSB131111 WBX131081:WBX131111 WLT131081:WLT131111 WVP131081:WVP131111 F196617:F196647 JD196617:JD196647 SZ196617:SZ196647 ACV196617:ACV196647 AMR196617:AMR196647 AWN196617:AWN196647 BGJ196617:BGJ196647 BQF196617:BQF196647 CAB196617:CAB196647 CJX196617:CJX196647 CTT196617:CTT196647 DDP196617:DDP196647 DNL196617:DNL196647 DXH196617:DXH196647 EHD196617:EHD196647 EQZ196617:EQZ196647 FAV196617:FAV196647 FKR196617:FKR196647 FUN196617:FUN196647 GEJ196617:GEJ196647 GOF196617:GOF196647 GYB196617:GYB196647 HHX196617:HHX196647 HRT196617:HRT196647 IBP196617:IBP196647 ILL196617:ILL196647 IVH196617:IVH196647 JFD196617:JFD196647 JOZ196617:JOZ196647 JYV196617:JYV196647 KIR196617:KIR196647 KSN196617:KSN196647 LCJ196617:LCJ196647 LMF196617:LMF196647 LWB196617:LWB196647 MFX196617:MFX196647 MPT196617:MPT196647 MZP196617:MZP196647 NJL196617:NJL196647 NTH196617:NTH196647 ODD196617:ODD196647 OMZ196617:OMZ196647 OWV196617:OWV196647 PGR196617:PGR196647 PQN196617:PQN196647 QAJ196617:QAJ196647 QKF196617:QKF196647 QUB196617:QUB196647 RDX196617:RDX196647 RNT196617:RNT196647 RXP196617:RXP196647 SHL196617:SHL196647 SRH196617:SRH196647 TBD196617:TBD196647 TKZ196617:TKZ196647 TUV196617:TUV196647 UER196617:UER196647 UON196617:UON196647 UYJ196617:UYJ196647 VIF196617:VIF196647 VSB196617:VSB196647 WBX196617:WBX196647 WLT196617:WLT196647 WVP196617:WVP196647 F262153:F262183 JD262153:JD262183 SZ262153:SZ262183 ACV262153:ACV262183 AMR262153:AMR262183 AWN262153:AWN262183 BGJ262153:BGJ262183 BQF262153:BQF262183 CAB262153:CAB262183 CJX262153:CJX262183 CTT262153:CTT262183 DDP262153:DDP262183 DNL262153:DNL262183 DXH262153:DXH262183 EHD262153:EHD262183 EQZ262153:EQZ262183 FAV262153:FAV262183 FKR262153:FKR262183 FUN262153:FUN262183 GEJ262153:GEJ262183 GOF262153:GOF262183 GYB262153:GYB262183 HHX262153:HHX262183 HRT262153:HRT262183 IBP262153:IBP262183 ILL262153:ILL262183 IVH262153:IVH262183 JFD262153:JFD262183 JOZ262153:JOZ262183 JYV262153:JYV262183 KIR262153:KIR262183 KSN262153:KSN262183 LCJ262153:LCJ262183 LMF262153:LMF262183 LWB262153:LWB262183 MFX262153:MFX262183 MPT262153:MPT262183 MZP262153:MZP262183 NJL262153:NJL262183 NTH262153:NTH262183 ODD262153:ODD262183 OMZ262153:OMZ262183 OWV262153:OWV262183 PGR262153:PGR262183 PQN262153:PQN262183 QAJ262153:QAJ262183 QKF262153:QKF262183 QUB262153:QUB262183 RDX262153:RDX262183 RNT262153:RNT262183 RXP262153:RXP262183 SHL262153:SHL262183 SRH262153:SRH262183 TBD262153:TBD262183 TKZ262153:TKZ262183 TUV262153:TUV262183 UER262153:UER262183 UON262153:UON262183 UYJ262153:UYJ262183 VIF262153:VIF262183 VSB262153:VSB262183 WBX262153:WBX262183 WLT262153:WLT262183 WVP262153:WVP262183 F327689:F327719 JD327689:JD327719 SZ327689:SZ327719 ACV327689:ACV327719 AMR327689:AMR327719 AWN327689:AWN327719 BGJ327689:BGJ327719 BQF327689:BQF327719 CAB327689:CAB327719 CJX327689:CJX327719 CTT327689:CTT327719 DDP327689:DDP327719 DNL327689:DNL327719 DXH327689:DXH327719 EHD327689:EHD327719 EQZ327689:EQZ327719 FAV327689:FAV327719 FKR327689:FKR327719 FUN327689:FUN327719 GEJ327689:GEJ327719 GOF327689:GOF327719 GYB327689:GYB327719 HHX327689:HHX327719 HRT327689:HRT327719 IBP327689:IBP327719 ILL327689:ILL327719 IVH327689:IVH327719 JFD327689:JFD327719 JOZ327689:JOZ327719 JYV327689:JYV327719 KIR327689:KIR327719 KSN327689:KSN327719 LCJ327689:LCJ327719 LMF327689:LMF327719 LWB327689:LWB327719 MFX327689:MFX327719 MPT327689:MPT327719 MZP327689:MZP327719 NJL327689:NJL327719 NTH327689:NTH327719 ODD327689:ODD327719 OMZ327689:OMZ327719 OWV327689:OWV327719 PGR327689:PGR327719 PQN327689:PQN327719 QAJ327689:QAJ327719 QKF327689:QKF327719 QUB327689:QUB327719 RDX327689:RDX327719 RNT327689:RNT327719 RXP327689:RXP327719 SHL327689:SHL327719 SRH327689:SRH327719 TBD327689:TBD327719 TKZ327689:TKZ327719 TUV327689:TUV327719 UER327689:UER327719 UON327689:UON327719 UYJ327689:UYJ327719 VIF327689:VIF327719 VSB327689:VSB327719 WBX327689:WBX327719 WLT327689:WLT327719 WVP327689:WVP327719 F393225:F393255 JD393225:JD393255 SZ393225:SZ393255 ACV393225:ACV393255 AMR393225:AMR393255 AWN393225:AWN393255 BGJ393225:BGJ393255 BQF393225:BQF393255 CAB393225:CAB393255 CJX393225:CJX393255 CTT393225:CTT393255 DDP393225:DDP393255 DNL393225:DNL393255 DXH393225:DXH393255 EHD393225:EHD393255 EQZ393225:EQZ393255 FAV393225:FAV393255 FKR393225:FKR393255 FUN393225:FUN393255 GEJ393225:GEJ393255 GOF393225:GOF393255 GYB393225:GYB393255 HHX393225:HHX393255 HRT393225:HRT393255 IBP393225:IBP393255 ILL393225:ILL393255 IVH393225:IVH393255 JFD393225:JFD393255 JOZ393225:JOZ393255 JYV393225:JYV393255 KIR393225:KIR393255 KSN393225:KSN393255 LCJ393225:LCJ393255 LMF393225:LMF393255 LWB393225:LWB393255 MFX393225:MFX393255 MPT393225:MPT393255 MZP393225:MZP393255 NJL393225:NJL393255 NTH393225:NTH393255 ODD393225:ODD393255 OMZ393225:OMZ393255 OWV393225:OWV393255 PGR393225:PGR393255 PQN393225:PQN393255 QAJ393225:QAJ393255 QKF393225:QKF393255 QUB393225:QUB393255 RDX393225:RDX393255 RNT393225:RNT393255 RXP393225:RXP393255 SHL393225:SHL393255 SRH393225:SRH393255 TBD393225:TBD393255 TKZ393225:TKZ393255 TUV393225:TUV393255 UER393225:UER393255 UON393225:UON393255 UYJ393225:UYJ393255 VIF393225:VIF393255 VSB393225:VSB393255 WBX393225:WBX393255 WLT393225:WLT393255 WVP393225:WVP393255 F458761:F458791 JD458761:JD458791 SZ458761:SZ458791 ACV458761:ACV458791 AMR458761:AMR458791 AWN458761:AWN458791 BGJ458761:BGJ458791 BQF458761:BQF458791 CAB458761:CAB458791 CJX458761:CJX458791 CTT458761:CTT458791 DDP458761:DDP458791 DNL458761:DNL458791 DXH458761:DXH458791 EHD458761:EHD458791 EQZ458761:EQZ458791 FAV458761:FAV458791 FKR458761:FKR458791 FUN458761:FUN458791 GEJ458761:GEJ458791 GOF458761:GOF458791 GYB458761:GYB458791 HHX458761:HHX458791 HRT458761:HRT458791 IBP458761:IBP458791 ILL458761:ILL458791 IVH458761:IVH458791 JFD458761:JFD458791 JOZ458761:JOZ458791 JYV458761:JYV458791 KIR458761:KIR458791 KSN458761:KSN458791 LCJ458761:LCJ458791 LMF458761:LMF458791 LWB458761:LWB458791 MFX458761:MFX458791 MPT458761:MPT458791 MZP458761:MZP458791 NJL458761:NJL458791 NTH458761:NTH458791 ODD458761:ODD458791 OMZ458761:OMZ458791 OWV458761:OWV458791 PGR458761:PGR458791 PQN458761:PQN458791 QAJ458761:QAJ458791 QKF458761:QKF458791 QUB458761:QUB458791 RDX458761:RDX458791 RNT458761:RNT458791 RXP458761:RXP458791 SHL458761:SHL458791 SRH458761:SRH458791 TBD458761:TBD458791 TKZ458761:TKZ458791 TUV458761:TUV458791 UER458761:UER458791 UON458761:UON458791 UYJ458761:UYJ458791 VIF458761:VIF458791 VSB458761:VSB458791 WBX458761:WBX458791 WLT458761:WLT458791 WVP458761:WVP458791 F524297:F524327 JD524297:JD524327 SZ524297:SZ524327 ACV524297:ACV524327 AMR524297:AMR524327 AWN524297:AWN524327 BGJ524297:BGJ524327 BQF524297:BQF524327 CAB524297:CAB524327 CJX524297:CJX524327 CTT524297:CTT524327 DDP524297:DDP524327 DNL524297:DNL524327 DXH524297:DXH524327 EHD524297:EHD524327 EQZ524297:EQZ524327 FAV524297:FAV524327 FKR524297:FKR524327 FUN524297:FUN524327 GEJ524297:GEJ524327 GOF524297:GOF524327 GYB524297:GYB524327 HHX524297:HHX524327 HRT524297:HRT524327 IBP524297:IBP524327 ILL524297:ILL524327 IVH524297:IVH524327 JFD524297:JFD524327 JOZ524297:JOZ524327 JYV524297:JYV524327 KIR524297:KIR524327 KSN524297:KSN524327 LCJ524297:LCJ524327 LMF524297:LMF524327 LWB524297:LWB524327 MFX524297:MFX524327 MPT524297:MPT524327 MZP524297:MZP524327 NJL524297:NJL524327 NTH524297:NTH524327 ODD524297:ODD524327 OMZ524297:OMZ524327 OWV524297:OWV524327 PGR524297:PGR524327 PQN524297:PQN524327 QAJ524297:QAJ524327 QKF524297:QKF524327 QUB524297:QUB524327 RDX524297:RDX524327 RNT524297:RNT524327 RXP524297:RXP524327 SHL524297:SHL524327 SRH524297:SRH524327 TBD524297:TBD524327 TKZ524297:TKZ524327 TUV524297:TUV524327 UER524297:UER524327 UON524297:UON524327 UYJ524297:UYJ524327 VIF524297:VIF524327 VSB524297:VSB524327 WBX524297:WBX524327 WLT524297:WLT524327 WVP524297:WVP524327 F589833:F589863 JD589833:JD589863 SZ589833:SZ589863 ACV589833:ACV589863 AMR589833:AMR589863 AWN589833:AWN589863 BGJ589833:BGJ589863 BQF589833:BQF589863 CAB589833:CAB589863 CJX589833:CJX589863 CTT589833:CTT589863 DDP589833:DDP589863 DNL589833:DNL589863 DXH589833:DXH589863 EHD589833:EHD589863 EQZ589833:EQZ589863 FAV589833:FAV589863 FKR589833:FKR589863 FUN589833:FUN589863 GEJ589833:GEJ589863 GOF589833:GOF589863 GYB589833:GYB589863 HHX589833:HHX589863 HRT589833:HRT589863 IBP589833:IBP589863 ILL589833:ILL589863 IVH589833:IVH589863 JFD589833:JFD589863 JOZ589833:JOZ589863 JYV589833:JYV589863 KIR589833:KIR589863 KSN589833:KSN589863 LCJ589833:LCJ589863 LMF589833:LMF589863 LWB589833:LWB589863 MFX589833:MFX589863 MPT589833:MPT589863 MZP589833:MZP589863 NJL589833:NJL589863 NTH589833:NTH589863 ODD589833:ODD589863 OMZ589833:OMZ589863 OWV589833:OWV589863 PGR589833:PGR589863 PQN589833:PQN589863 QAJ589833:QAJ589863 QKF589833:QKF589863 QUB589833:QUB589863 RDX589833:RDX589863 RNT589833:RNT589863 RXP589833:RXP589863 SHL589833:SHL589863 SRH589833:SRH589863 TBD589833:TBD589863 TKZ589833:TKZ589863 TUV589833:TUV589863 UER589833:UER589863 UON589833:UON589863 UYJ589833:UYJ589863 VIF589833:VIF589863 VSB589833:VSB589863 WBX589833:WBX589863 WLT589833:WLT589863 WVP589833:WVP589863 F655369:F655399 JD655369:JD655399 SZ655369:SZ655399 ACV655369:ACV655399 AMR655369:AMR655399 AWN655369:AWN655399 BGJ655369:BGJ655399 BQF655369:BQF655399 CAB655369:CAB655399 CJX655369:CJX655399 CTT655369:CTT655399 DDP655369:DDP655399 DNL655369:DNL655399 DXH655369:DXH655399 EHD655369:EHD655399 EQZ655369:EQZ655399 FAV655369:FAV655399 FKR655369:FKR655399 FUN655369:FUN655399 GEJ655369:GEJ655399 GOF655369:GOF655399 GYB655369:GYB655399 HHX655369:HHX655399 HRT655369:HRT655399 IBP655369:IBP655399 ILL655369:ILL655399 IVH655369:IVH655399 JFD655369:JFD655399 JOZ655369:JOZ655399 JYV655369:JYV655399 KIR655369:KIR655399 KSN655369:KSN655399 LCJ655369:LCJ655399 LMF655369:LMF655399 LWB655369:LWB655399 MFX655369:MFX655399 MPT655369:MPT655399 MZP655369:MZP655399 NJL655369:NJL655399 NTH655369:NTH655399 ODD655369:ODD655399 OMZ655369:OMZ655399 OWV655369:OWV655399 PGR655369:PGR655399 PQN655369:PQN655399 QAJ655369:QAJ655399 QKF655369:QKF655399 QUB655369:QUB655399 RDX655369:RDX655399 RNT655369:RNT655399 RXP655369:RXP655399 SHL655369:SHL655399 SRH655369:SRH655399 TBD655369:TBD655399 TKZ655369:TKZ655399 TUV655369:TUV655399 UER655369:UER655399 UON655369:UON655399 UYJ655369:UYJ655399 VIF655369:VIF655399 VSB655369:VSB655399 WBX655369:WBX655399 WLT655369:WLT655399 WVP655369:WVP655399 F720905:F720935 JD720905:JD720935 SZ720905:SZ720935 ACV720905:ACV720935 AMR720905:AMR720935 AWN720905:AWN720935 BGJ720905:BGJ720935 BQF720905:BQF720935 CAB720905:CAB720935 CJX720905:CJX720935 CTT720905:CTT720935 DDP720905:DDP720935 DNL720905:DNL720935 DXH720905:DXH720935 EHD720905:EHD720935 EQZ720905:EQZ720935 FAV720905:FAV720935 FKR720905:FKR720935 FUN720905:FUN720935 GEJ720905:GEJ720935 GOF720905:GOF720935 GYB720905:GYB720935 HHX720905:HHX720935 HRT720905:HRT720935 IBP720905:IBP720935 ILL720905:ILL720935 IVH720905:IVH720935 JFD720905:JFD720935 JOZ720905:JOZ720935 JYV720905:JYV720935 KIR720905:KIR720935 KSN720905:KSN720935 LCJ720905:LCJ720935 LMF720905:LMF720935 LWB720905:LWB720935 MFX720905:MFX720935 MPT720905:MPT720935 MZP720905:MZP720935 NJL720905:NJL720935 NTH720905:NTH720935 ODD720905:ODD720935 OMZ720905:OMZ720935 OWV720905:OWV720935 PGR720905:PGR720935 PQN720905:PQN720935 QAJ720905:QAJ720935 QKF720905:QKF720935 QUB720905:QUB720935 RDX720905:RDX720935 RNT720905:RNT720935 RXP720905:RXP720935 SHL720905:SHL720935 SRH720905:SRH720935 TBD720905:TBD720935 TKZ720905:TKZ720935 TUV720905:TUV720935 UER720905:UER720935 UON720905:UON720935 UYJ720905:UYJ720935 VIF720905:VIF720935 VSB720905:VSB720935 WBX720905:WBX720935 WLT720905:WLT720935 WVP720905:WVP720935 F786441:F786471 JD786441:JD786471 SZ786441:SZ786471 ACV786441:ACV786471 AMR786441:AMR786471 AWN786441:AWN786471 BGJ786441:BGJ786471 BQF786441:BQF786471 CAB786441:CAB786471 CJX786441:CJX786471 CTT786441:CTT786471 DDP786441:DDP786471 DNL786441:DNL786471 DXH786441:DXH786471 EHD786441:EHD786471 EQZ786441:EQZ786471 FAV786441:FAV786471 FKR786441:FKR786471 FUN786441:FUN786471 GEJ786441:GEJ786471 GOF786441:GOF786471 GYB786441:GYB786471 HHX786441:HHX786471 HRT786441:HRT786471 IBP786441:IBP786471 ILL786441:ILL786471 IVH786441:IVH786471 JFD786441:JFD786471 JOZ786441:JOZ786471 JYV786441:JYV786471 KIR786441:KIR786471 KSN786441:KSN786471 LCJ786441:LCJ786471 LMF786441:LMF786471 LWB786441:LWB786471 MFX786441:MFX786471 MPT786441:MPT786471 MZP786441:MZP786471 NJL786441:NJL786471 NTH786441:NTH786471 ODD786441:ODD786471 OMZ786441:OMZ786471 OWV786441:OWV786471 PGR786441:PGR786471 PQN786441:PQN786471 QAJ786441:QAJ786471 QKF786441:QKF786471 QUB786441:QUB786471 RDX786441:RDX786471 RNT786441:RNT786471 RXP786441:RXP786471 SHL786441:SHL786471 SRH786441:SRH786471 TBD786441:TBD786471 TKZ786441:TKZ786471 TUV786441:TUV786471 UER786441:UER786471 UON786441:UON786471 UYJ786441:UYJ786471 VIF786441:VIF786471 VSB786441:VSB786471 WBX786441:WBX786471 WLT786441:WLT786471 WVP786441:WVP786471 F851977:F852007 JD851977:JD852007 SZ851977:SZ852007 ACV851977:ACV852007 AMR851977:AMR852007 AWN851977:AWN852007 BGJ851977:BGJ852007 BQF851977:BQF852007 CAB851977:CAB852007 CJX851977:CJX852007 CTT851977:CTT852007 DDP851977:DDP852007 DNL851977:DNL852007 DXH851977:DXH852007 EHD851977:EHD852007 EQZ851977:EQZ852007 FAV851977:FAV852007 FKR851977:FKR852007 FUN851977:FUN852007 GEJ851977:GEJ852007 GOF851977:GOF852007 GYB851977:GYB852007 HHX851977:HHX852007 HRT851977:HRT852007 IBP851977:IBP852007 ILL851977:ILL852007 IVH851977:IVH852007 JFD851977:JFD852007 JOZ851977:JOZ852007 JYV851977:JYV852007 KIR851977:KIR852007 KSN851977:KSN852007 LCJ851977:LCJ852007 LMF851977:LMF852007 LWB851977:LWB852007 MFX851977:MFX852007 MPT851977:MPT852007 MZP851977:MZP852007 NJL851977:NJL852007 NTH851977:NTH852007 ODD851977:ODD852007 OMZ851977:OMZ852007 OWV851977:OWV852007 PGR851977:PGR852007 PQN851977:PQN852007 QAJ851977:QAJ852007 QKF851977:QKF852007 QUB851977:QUB852007 RDX851977:RDX852007 RNT851977:RNT852007 RXP851977:RXP852007 SHL851977:SHL852007 SRH851977:SRH852007 TBD851977:TBD852007 TKZ851977:TKZ852007 TUV851977:TUV852007 UER851977:UER852007 UON851977:UON852007 UYJ851977:UYJ852007 VIF851977:VIF852007 VSB851977:VSB852007 WBX851977:WBX852007 WLT851977:WLT852007 WVP851977:WVP852007 F917513:F917543 JD917513:JD917543 SZ917513:SZ917543 ACV917513:ACV917543 AMR917513:AMR917543 AWN917513:AWN917543 BGJ917513:BGJ917543 BQF917513:BQF917543 CAB917513:CAB917543 CJX917513:CJX917543 CTT917513:CTT917543 DDP917513:DDP917543 DNL917513:DNL917543 DXH917513:DXH917543 EHD917513:EHD917543 EQZ917513:EQZ917543 FAV917513:FAV917543 FKR917513:FKR917543 FUN917513:FUN917543 GEJ917513:GEJ917543 GOF917513:GOF917543 GYB917513:GYB917543 HHX917513:HHX917543 HRT917513:HRT917543 IBP917513:IBP917543 ILL917513:ILL917543 IVH917513:IVH917543 JFD917513:JFD917543 JOZ917513:JOZ917543 JYV917513:JYV917543 KIR917513:KIR917543 KSN917513:KSN917543 LCJ917513:LCJ917543 LMF917513:LMF917543 LWB917513:LWB917543 MFX917513:MFX917543 MPT917513:MPT917543 MZP917513:MZP917543 NJL917513:NJL917543 NTH917513:NTH917543 ODD917513:ODD917543 OMZ917513:OMZ917543 OWV917513:OWV917543 PGR917513:PGR917543 PQN917513:PQN917543 QAJ917513:QAJ917543 QKF917513:QKF917543 QUB917513:QUB917543 RDX917513:RDX917543 RNT917513:RNT917543 RXP917513:RXP917543 SHL917513:SHL917543 SRH917513:SRH917543 TBD917513:TBD917543 TKZ917513:TKZ917543 TUV917513:TUV917543 UER917513:UER917543 UON917513:UON917543 UYJ917513:UYJ917543 VIF917513:VIF917543 VSB917513:VSB917543 WBX917513:WBX917543 WLT917513:WLT917543 WVP917513:WVP917543 F983049:F983079 JD983049:JD983079 SZ983049:SZ983079 ACV983049:ACV983079 AMR983049:AMR983079 AWN983049:AWN983079 BGJ983049:BGJ983079 BQF983049:BQF983079 CAB983049:CAB983079 CJX983049:CJX983079 CTT983049:CTT983079 DDP983049:DDP983079 DNL983049:DNL983079 DXH983049:DXH983079 EHD983049:EHD983079 EQZ983049:EQZ983079 FAV983049:FAV983079 FKR983049:FKR983079 FUN983049:FUN983079 GEJ983049:GEJ983079 GOF983049:GOF983079 GYB983049:GYB983079 HHX983049:HHX983079 HRT983049:HRT983079 IBP983049:IBP983079 ILL983049:ILL983079 IVH983049:IVH983079 JFD983049:JFD983079 JOZ983049:JOZ983079 JYV983049:JYV983079 KIR983049:KIR983079 KSN983049:KSN983079 LCJ983049:LCJ983079 LMF983049:LMF983079 LWB983049:LWB983079 MFX983049:MFX983079 MPT983049:MPT983079 MZP983049:MZP983079 NJL983049:NJL983079 NTH983049:NTH983079 ODD983049:ODD983079 OMZ983049:OMZ983079 OWV983049:OWV983079 PGR983049:PGR983079 PQN983049:PQN983079 QAJ983049:QAJ983079 QKF983049:QKF983079 QUB983049:QUB983079 RDX983049:RDX983079 RNT983049:RNT983079 RXP983049:RXP983079 SHL983049:SHL983079 SRH983049:SRH983079 TBD983049:TBD983079 TKZ983049:TKZ983079 TUV983049:TUV983079 UER983049:UER983079 UON983049:UON983079 UYJ983049:UYJ983079 VIF983049:VIF983079 VSB983049:VSB983079 WBX983049:WBX983079 WLT983049:WLT983079" xr:uid="{3322574F-C138-4ACA-93ED-53A66E700477}">
      <formula1>0.999305555555556</formula1>
    </dataValidation>
    <dataValidation type="list" allowBlank="1" showInputMessage="1" showErrorMessage="1" errorTitle="WORKED REST DAYS" error="Jim says-_x000a_If you WORKED a REST DAY  enter a Y in the box, otherwise leave it BLANK!_x000a__x000a_Please try again..." sqref="JC10:JC40 SY10:SY40 ACU10:ACU40 AMQ10:AMQ40 AWM10:AWM40 BGI10:BGI40 BQE10:BQE40 CAA10:CAA40 CJW10:CJW40 CTS10:CTS40 DDO10:DDO40 DNK10:DNK40 DXG10:DXG40 EHC10:EHC40 EQY10:EQY40 FAU10:FAU40 FKQ10:FKQ40 FUM10:FUM40 GEI10:GEI40 GOE10:GOE40 GYA10:GYA40 HHW10:HHW40 HRS10:HRS40 IBO10:IBO40 ILK10:ILK40 IVG10:IVG40 JFC10:JFC40 JOY10:JOY40 JYU10:JYU40 KIQ10:KIQ40 KSM10:KSM40 LCI10:LCI40 LME10:LME40 LWA10:LWA40 MFW10:MFW40 MPS10:MPS40 MZO10:MZO40 NJK10:NJK40 NTG10:NTG40 ODC10:ODC40 OMY10:OMY40 OWU10:OWU40 PGQ10:PGQ40 PQM10:PQM40 QAI10:QAI40 QKE10:QKE40 QUA10:QUA40 RDW10:RDW40 RNS10:RNS40 RXO10:RXO40 SHK10:SHK40 SRG10:SRG40 TBC10:TBC40 TKY10:TKY40 TUU10:TUU40 UEQ10:UEQ40 UOM10:UOM40 UYI10:UYI40 VIE10:VIE40 VSA10:VSA40 WBW10:WBW40 WLS10:WLS40 WVO10:WVO40 H65545:J65575 JF65545:JF65575 TB65545:TB65575 ACX65545:ACX65575 AMT65545:AMT65575 AWP65545:AWP65575 BGL65545:BGL65575 BQH65545:BQH65575 CAD65545:CAD65575 CJZ65545:CJZ65575 CTV65545:CTV65575 DDR65545:DDR65575 DNN65545:DNN65575 DXJ65545:DXJ65575 EHF65545:EHF65575 ERB65545:ERB65575 FAX65545:FAX65575 FKT65545:FKT65575 FUP65545:FUP65575 GEL65545:GEL65575 GOH65545:GOH65575 GYD65545:GYD65575 HHZ65545:HHZ65575 HRV65545:HRV65575 IBR65545:IBR65575 ILN65545:ILN65575 IVJ65545:IVJ65575 JFF65545:JFF65575 JPB65545:JPB65575 JYX65545:JYX65575 KIT65545:KIT65575 KSP65545:KSP65575 LCL65545:LCL65575 LMH65545:LMH65575 LWD65545:LWD65575 MFZ65545:MFZ65575 MPV65545:MPV65575 MZR65545:MZR65575 NJN65545:NJN65575 NTJ65545:NTJ65575 ODF65545:ODF65575 ONB65545:ONB65575 OWX65545:OWX65575 PGT65545:PGT65575 PQP65545:PQP65575 QAL65545:QAL65575 QKH65545:QKH65575 QUD65545:QUD65575 RDZ65545:RDZ65575 RNV65545:RNV65575 RXR65545:RXR65575 SHN65545:SHN65575 SRJ65545:SRJ65575 TBF65545:TBF65575 TLB65545:TLB65575 TUX65545:TUX65575 UET65545:UET65575 UOP65545:UOP65575 UYL65545:UYL65575 VIH65545:VIH65575 VSD65545:VSD65575 WBZ65545:WBZ65575 WLV65545:WLV65575 WVR65545:WVR65575 H131081:J131111 JF131081:JF131111 TB131081:TB131111 ACX131081:ACX131111 AMT131081:AMT131111 AWP131081:AWP131111 BGL131081:BGL131111 BQH131081:BQH131111 CAD131081:CAD131111 CJZ131081:CJZ131111 CTV131081:CTV131111 DDR131081:DDR131111 DNN131081:DNN131111 DXJ131081:DXJ131111 EHF131081:EHF131111 ERB131081:ERB131111 FAX131081:FAX131111 FKT131081:FKT131111 FUP131081:FUP131111 GEL131081:GEL131111 GOH131081:GOH131111 GYD131081:GYD131111 HHZ131081:HHZ131111 HRV131081:HRV131111 IBR131081:IBR131111 ILN131081:ILN131111 IVJ131081:IVJ131111 JFF131081:JFF131111 JPB131081:JPB131111 JYX131081:JYX131111 KIT131081:KIT131111 KSP131081:KSP131111 LCL131081:LCL131111 LMH131081:LMH131111 LWD131081:LWD131111 MFZ131081:MFZ131111 MPV131081:MPV131111 MZR131081:MZR131111 NJN131081:NJN131111 NTJ131081:NTJ131111 ODF131081:ODF131111 ONB131081:ONB131111 OWX131081:OWX131111 PGT131081:PGT131111 PQP131081:PQP131111 QAL131081:QAL131111 QKH131081:QKH131111 QUD131081:QUD131111 RDZ131081:RDZ131111 RNV131081:RNV131111 RXR131081:RXR131111 SHN131081:SHN131111 SRJ131081:SRJ131111 TBF131081:TBF131111 TLB131081:TLB131111 TUX131081:TUX131111 UET131081:UET131111 UOP131081:UOP131111 UYL131081:UYL131111 VIH131081:VIH131111 VSD131081:VSD131111 WBZ131081:WBZ131111 WLV131081:WLV131111 WVR131081:WVR131111 H196617:J196647 JF196617:JF196647 TB196617:TB196647 ACX196617:ACX196647 AMT196617:AMT196647 AWP196617:AWP196647 BGL196617:BGL196647 BQH196617:BQH196647 CAD196617:CAD196647 CJZ196617:CJZ196647 CTV196617:CTV196647 DDR196617:DDR196647 DNN196617:DNN196647 DXJ196617:DXJ196647 EHF196617:EHF196647 ERB196617:ERB196647 FAX196617:FAX196647 FKT196617:FKT196647 FUP196617:FUP196647 GEL196617:GEL196647 GOH196617:GOH196647 GYD196617:GYD196647 HHZ196617:HHZ196647 HRV196617:HRV196647 IBR196617:IBR196647 ILN196617:ILN196647 IVJ196617:IVJ196647 JFF196617:JFF196647 JPB196617:JPB196647 JYX196617:JYX196647 KIT196617:KIT196647 KSP196617:KSP196647 LCL196617:LCL196647 LMH196617:LMH196647 LWD196617:LWD196647 MFZ196617:MFZ196647 MPV196617:MPV196647 MZR196617:MZR196647 NJN196617:NJN196647 NTJ196617:NTJ196647 ODF196617:ODF196647 ONB196617:ONB196647 OWX196617:OWX196647 PGT196617:PGT196647 PQP196617:PQP196647 QAL196617:QAL196647 QKH196617:QKH196647 QUD196617:QUD196647 RDZ196617:RDZ196647 RNV196617:RNV196647 RXR196617:RXR196647 SHN196617:SHN196647 SRJ196617:SRJ196647 TBF196617:TBF196647 TLB196617:TLB196647 TUX196617:TUX196647 UET196617:UET196647 UOP196617:UOP196647 UYL196617:UYL196647 VIH196617:VIH196647 VSD196617:VSD196647 WBZ196617:WBZ196647 WLV196617:WLV196647 WVR196617:WVR196647 H262153:J262183 JF262153:JF262183 TB262153:TB262183 ACX262153:ACX262183 AMT262153:AMT262183 AWP262153:AWP262183 BGL262153:BGL262183 BQH262153:BQH262183 CAD262153:CAD262183 CJZ262153:CJZ262183 CTV262153:CTV262183 DDR262153:DDR262183 DNN262153:DNN262183 DXJ262153:DXJ262183 EHF262153:EHF262183 ERB262153:ERB262183 FAX262153:FAX262183 FKT262153:FKT262183 FUP262153:FUP262183 GEL262153:GEL262183 GOH262153:GOH262183 GYD262153:GYD262183 HHZ262153:HHZ262183 HRV262153:HRV262183 IBR262153:IBR262183 ILN262153:ILN262183 IVJ262153:IVJ262183 JFF262153:JFF262183 JPB262153:JPB262183 JYX262153:JYX262183 KIT262153:KIT262183 KSP262153:KSP262183 LCL262153:LCL262183 LMH262153:LMH262183 LWD262153:LWD262183 MFZ262153:MFZ262183 MPV262153:MPV262183 MZR262153:MZR262183 NJN262153:NJN262183 NTJ262153:NTJ262183 ODF262153:ODF262183 ONB262153:ONB262183 OWX262153:OWX262183 PGT262153:PGT262183 PQP262153:PQP262183 QAL262153:QAL262183 QKH262153:QKH262183 QUD262153:QUD262183 RDZ262153:RDZ262183 RNV262153:RNV262183 RXR262153:RXR262183 SHN262153:SHN262183 SRJ262153:SRJ262183 TBF262153:TBF262183 TLB262153:TLB262183 TUX262153:TUX262183 UET262153:UET262183 UOP262153:UOP262183 UYL262153:UYL262183 VIH262153:VIH262183 VSD262153:VSD262183 WBZ262153:WBZ262183 WLV262153:WLV262183 WVR262153:WVR262183 H327689:J327719 JF327689:JF327719 TB327689:TB327719 ACX327689:ACX327719 AMT327689:AMT327719 AWP327689:AWP327719 BGL327689:BGL327719 BQH327689:BQH327719 CAD327689:CAD327719 CJZ327689:CJZ327719 CTV327689:CTV327719 DDR327689:DDR327719 DNN327689:DNN327719 DXJ327689:DXJ327719 EHF327689:EHF327719 ERB327689:ERB327719 FAX327689:FAX327719 FKT327689:FKT327719 FUP327689:FUP327719 GEL327689:GEL327719 GOH327689:GOH327719 GYD327689:GYD327719 HHZ327689:HHZ327719 HRV327689:HRV327719 IBR327689:IBR327719 ILN327689:ILN327719 IVJ327689:IVJ327719 JFF327689:JFF327719 JPB327689:JPB327719 JYX327689:JYX327719 KIT327689:KIT327719 KSP327689:KSP327719 LCL327689:LCL327719 LMH327689:LMH327719 LWD327689:LWD327719 MFZ327689:MFZ327719 MPV327689:MPV327719 MZR327689:MZR327719 NJN327689:NJN327719 NTJ327689:NTJ327719 ODF327689:ODF327719 ONB327689:ONB327719 OWX327689:OWX327719 PGT327689:PGT327719 PQP327689:PQP327719 QAL327689:QAL327719 QKH327689:QKH327719 QUD327689:QUD327719 RDZ327689:RDZ327719 RNV327689:RNV327719 RXR327689:RXR327719 SHN327689:SHN327719 SRJ327689:SRJ327719 TBF327689:TBF327719 TLB327689:TLB327719 TUX327689:TUX327719 UET327689:UET327719 UOP327689:UOP327719 UYL327689:UYL327719 VIH327689:VIH327719 VSD327689:VSD327719 WBZ327689:WBZ327719 WLV327689:WLV327719 WVR327689:WVR327719 H393225:J393255 JF393225:JF393255 TB393225:TB393255 ACX393225:ACX393255 AMT393225:AMT393255 AWP393225:AWP393255 BGL393225:BGL393255 BQH393225:BQH393255 CAD393225:CAD393255 CJZ393225:CJZ393255 CTV393225:CTV393255 DDR393225:DDR393255 DNN393225:DNN393255 DXJ393225:DXJ393255 EHF393225:EHF393255 ERB393225:ERB393255 FAX393225:FAX393255 FKT393225:FKT393255 FUP393225:FUP393255 GEL393225:GEL393255 GOH393225:GOH393255 GYD393225:GYD393255 HHZ393225:HHZ393255 HRV393225:HRV393255 IBR393225:IBR393255 ILN393225:ILN393255 IVJ393225:IVJ393255 JFF393225:JFF393255 JPB393225:JPB393255 JYX393225:JYX393255 KIT393225:KIT393255 KSP393225:KSP393255 LCL393225:LCL393255 LMH393225:LMH393255 LWD393225:LWD393255 MFZ393225:MFZ393255 MPV393225:MPV393255 MZR393225:MZR393255 NJN393225:NJN393255 NTJ393225:NTJ393255 ODF393225:ODF393255 ONB393225:ONB393255 OWX393225:OWX393255 PGT393225:PGT393255 PQP393225:PQP393255 QAL393225:QAL393255 QKH393225:QKH393255 QUD393225:QUD393255 RDZ393225:RDZ393255 RNV393225:RNV393255 RXR393225:RXR393255 SHN393225:SHN393255 SRJ393225:SRJ393255 TBF393225:TBF393255 TLB393225:TLB393255 TUX393225:TUX393255 UET393225:UET393255 UOP393225:UOP393255 UYL393225:UYL393255 VIH393225:VIH393255 VSD393225:VSD393255 WBZ393225:WBZ393255 WLV393225:WLV393255 WVR393225:WVR393255 H458761:J458791 JF458761:JF458791 TB458761:TB458791 ACX458761:ACX458791 AMT458761:AMT458791 AWP458761:AWP458791 BGL458761:BGL458791 BQH458761:BQH458791 CAD458761:CAD458791 CJZ458761:CJZ458791 CTV458761:CTV458791 DDR458761:DDR458791 DNN458761:DNN458791 DXJ458761:DXJ458791 EHF458761:EHF458791 ERB458761:ERB458791 FAX458761:FAX458791 FKT458761:FKT458791 FUP458761:FUP458791 GEL458761:GEL458791 GOH458761:GOH458791 GYD458761:GYD458791 HHZ458761:HHZ458791 HRV458761:HRV458791 IBR458761:IBR458791 ILN458761:ILN458791 IVJ458761:IVJ458791 JFF458761:JFF458791 JPB458761:JPB458791 JYX458761:JYX458791 KIT458761:KIT458791 KSP458761:KSP458791 LCL458761:LCL458791 LMH458761:LMH458791 LWD458761:LWD458791 MFZ458761:MFZ458791 MPV458761:MPV458791 MZR458761:MZR458791 NJN458761:NJN458791 NTJ458761:NTJ458791 ODF458761:ODF458791 ONB458761:ONB458791 OWX458761:OWX458791 PGT458761:PGT458791 PQP458761:PQP458791 QAL458761:QAL458791 QKH458761:QKH458791 QUD458761:QUD458791 RDZ458761:RDZ458791 RNV458761:RNV458791 RXR458761:RXR458791 SHN458761:SHN458791 SRJ458761:SRJ458791 TBF458761:TBF458791 TLB458761:TLB458791 TUX458761:TUX458791 UET458761:UET458791 UOP458761:UOP458791 UYL458761:UYL458791 VIH458761:VIH458791 VSD458761:VSD458791 WBZ458761:WBZ458791 WLV458761:WLV458791 WVR458761:WVR458791 H524297:J524327 JF524297:JF524327 TB524297:TB524327 ACX524297:ACX524327 AMT524297:AMT524327 AWP524297:AWP524327 BGL524297:BGL524327 BQH524297:BQH524327 CAD524297:CAD524327 CJZ524297:CJZ524327 CTV524297:CTV524327 DDR524297:DDR524327 DNN524297:DNN524327 DXJ524297:DXJ524327 EHF524297:EHF524327 ERB524297:ERB524327 FAX524297:FAX524327 FKT524297:FKT524327 FUP524297:FUP524327 GEL524297:GEL524327 GOH524297:GOH524327 GYD524297:GYD524327 HHZ524297:HHZ524327 HRV524297:HRV524327 IBR524297:IBR524327 ILN524297:ILN524327 IVJ524297:IVJ524327 JFF524297:JFF524327 JPB524297:JPB524327 JYX524297:JYX524327 KIT524297:KIT524327 KSP524297:KSP524327 LCL524297:LCL524327 LMH524297:LMH524327 LWD524297:LWD524327 MFZ524297:MFZ524327 MPV524297:MPV524327 MZR524297:MZR524327 NJN524297:NJN524327 NTJ524297:NTJ524327 ODF524297:ODF524327 ONB524297:ONB524327 OWX524297:OWX524327 PGT524297:PGT524327 PQP524297:PQP524327 QAL524297:QAL524327 QKH524297:QKH524327 QUD524297:QUD524327 RDZ524297:RDZ524327 RNV524297:RNV524327 RXR524297:RXR524327 SHN524297:SHN524327 SRJ524297:SRJ524327 TBF524297:TBF524327 TLB524297:TLB524327 TUX524297:TUX524327 UET524297:UET524327 UOP524297:UOP524327 UYL524297:UYL524327 VIH524297:VIH524327 VSD524297:VSD524327 WBZ524297:WBZ524327 WLV524297:WLV524327 WVR524297:WVR524327 H589833:J589863 JF589833:JF589863 TB589833:TB589863 ACX589833:ACX589863 AMT589833:AMT589863 AWP589833:AWP589863 BGL589833:BGL589863 BQH589833:BQH589863 CAD589833:CAD589863 CJZ589833:CJZ589863 CTV589833:CTV589863 DDR589833:DDR589863 DNN589833:DNN589863 DXJ589833:DXJ589863 EHF589833:EHF589863 ERB589833:ERB589863 FAX589833:FAX589863 FKT589833:FKT589863 FUP589833:FUP589863 GEL589833:GEL589863 GOH589833:GOH589863 GYD589833:GYD589863 HHZ589833:HHZ589863 HRV589833:HRV589863 IBR589833:IBR589863 ILN589833:ILN589863 IVJ589833:IVJ589863 JFF589833:JFF589863 JPB589833:JPB589863 JYX589833:JYX589863 KIT589833:KIT589863 KSP589833:KSP589863 LCL589833:LCL589863 LMH589833:LMH589863 LWD589833:LWD589863 MFZ589833:MFZ589863 MPV589833:MPV589863 MZR589833:MZR589863 NJN589833:NJN589863 NTJ589833:NTJ589863 ODF589833:ODF589863 ONB589833:ONB589863 OWX589833:OWX589863 PGT589833:PGT589863 PQP589833:PQP589863 QAL589833:QAL589863 QKH589833:QKH589863 QUD589833:QUD589863 RDZ589833:RDZ589863 RNV589833:RNV589863 RXR589833:RXR589863 SHN589833:SHN589863 SRJ589833:SRJ589863 TBF589833:TBF589863 TLB589833:TLB589863 TUX589833:TUX589863 UET589833:UET589863 UOP589833:UOP589863 UYL589833:UYL589863 VIH589833:VIH589863 VSD589833:VSD589863 WBZ589833:WBZ589863 WLV589833:WLV589863 WVR589833:WVR589863 H655369:J655399 JF655369:JF655399 TB655369:TB655399 ACX655369:ACX655399 AMT655369:AMT655399 AWP655369:AWP655399 BGL655369:BGL655399 BQH655369:BQH655399 CAD655369:CAD655399 CJZ655369:CJZ655399 CTV655369:CTV655399 DDR655369:DDR655399 DNN655369:DNN655399 DXJ655369:DXJ655399 EHF655369:EHF655399 ERB655369:ERB655399 FAX655369:FAX655399 FKT655369:FKT655399 FUP655369:FUP655399 GEL655369:GEL655399 GOH655369:GOH655399 GYD655369:GYD655399 HHZ655369:HHZ655399 HRV655369:HRV655399 IBR655369:IBR655399 ILN655369:ILN655399 IVJ655369:IVJ655399 JFF655369:JFF655399 JPB655369:JPB655399 JYX655369:JYX655399 KIT655369:KIT655399 KSP655369:KSP655399 LCL655369:LCL655399 LMH655369:LMH655399 LWD655369:LWD655399 MFZ655369:MFZ655399 MPV655369:MPV655399 MZR655369:MZR655399 NJN655369:NJN655399 NTJ655369:NTJ655399 ODF655369:ODF655399 ONB655369:ONB655399 OWX655369:OWX655399 PGT655369:PGT655399 PQP655369:PQP655399 QAL655369:QAL655399 QKH655369:QKH655399 QUD655369:QUD655399 RDZ655369:RDZ655399 RNV655369:RNV655399 RXR655369:RXR655399 SHN655369:SHN655399 SRJ655369:SRJ655399 TBF655369:TBF655399 TLB655369:TLB655399 TUX655369:TUX655399 UET655369:UET655399 UOP655369:UOP655399 UYL655369:UYL655399 VIH655369:VIH655399 VSD655369:VSD655399 WBZ655369:WBZ655399 WLV655369:WLV655399 WVR655369:WVR655399 H720905:J720935 JF720905:JF720935 TB720905:TB720935 ACX720905:ACX720935 AMT720905:AMT720935 AWP720905:AWP720935 BGL720905:BGL720935 BQH720905:BQH720935 CAD720905:CAD720935 CJZ720905:CJZ720935 CTV720905:CTV720935 DDR720905:DDR720935 DNN720905:DNN720935 DXJ720905:DXJ720935 EHF720905:EHF720935 ERB720905:ERB720935 FAX720905:FAX720935 FKT720905:FKT720935 FUP720905:FUP720935 GEL720905:GEL720935 GOH720905:GOH720935 GYD720905:GYD720935 HHZ720905:HHZ720935 HRV720905:HRV720935 IBR720905:IBR720935 ILN720905:ILN720935 IVJ720905:IVJ720935 JFF720905:JFF720935 JPB720905:JPB720935 JYX720905:JYX720935 KIT720905:KIT720935 KSP720905:KSP720935 LCL720905:LCL720935 LMH720905:LMH720935 LWD720905:LWD720935 MFZ720905:MFZ720935 MPV720905:MPV720935 MZR720905:MZR720935 NJN720905:NJN720935 NTJ720905:NTJ720935 ODF720905:ODF720935 ONB720905:ONB720935 OWX720905:OWX720935 PGT720905:PGT720935 PQP720905:PQP720935 QAL720905:QAL720935 QKH720905:QKH720935 QUD720905:QUD720935 RDZ720905:RDZ720935 RNV720905:RNV720935 RXR720905:RXR720935 SHN720905:SHN720935 SRJ720905:SRJ720935 TBF720905:TBF720935 TLB720905:TLB720935 TUX720905:TUX720935 UET720905:UET720935 UOP720905:UOP720935 UYL720905:UYL720935 VIH720905:VIH720935 VSD720905:VSD720935 WBZ720905:WBZ720935 WLV720905:WLV720935 WVR720905:WVR720935 H786441:J786471 JF786441:JF786471 TB786441:TB786471 ACX786441:ACX786471 AMT786441:AMT786471 AWP786441:AWP786471 BGL786441:BGL786471 BQH786441:BQH786471 CAD786441:CAD786471 CJZ786441:CJZ786471 CTV786441:CTV786471 DDR786441:DDR786471 DNN786441:DNN786471 DXJ786441:DXJ786471 EHF786441:EHF786471 ERB786441:ERB786471 FAX786441:FAX786471 FKT786441:FKT786471 FUP786441:FUP786471 GEL786441:GEL786471 GOH786441:GOH786471 GYD786441:GYD786471 HHZ786441:HHZ786471 HRV786441:HRV786471 IBR786441:IBR786471 ILN786441:ILN786471 IVJ786441:IVJ786471 JFF786441:JFF786471 JPB786441:JPB786471 JYX786441:JYX786471 KIT786441:KIT786471 KSP786441:KSP786471 LCL786441:LCL786471 LMH786441:LMH786471 LWD786441:LWD786471 MFZ786441:MFZ786471 MPV786441:MPV786471 MZR786441:MZR786471 NJN786441:NJN786471 NTJ786441:NTJ786471 ODF786441:ODF786471 ONB786441:ONB786471 OWX786441:OWX786471 PGT786441:PGT786471 PQP786441:PQP786471 QAL786441:QAL786471 QKH786441:QKH786471 QUD786441:QUD786471 RDZ786441:RDZ786471 RNV786441:RNV786471 RXR786441:RXR786471 SHN786441:SHN786471 SRJ786441:SRJ786471 TBF786441:TBF786471 TLB786441:TLB786471 TUX786441:TUX786471 UET786441:UET786471 UOP786441:UOP786471 UYL786441:UYL786471 VIH786441:VIH786471 VSD786441:VSD786471 WBZ786441:WBZ786471 WLV786441:WLV786471 WVR786441:WVR786471 H851977:J852007 JF851977:JF852007 TB851977:TB852007 ACX851977:ACX852007 AMT851977:AMT852007 AWP851977:AWP852007 BGL851977:BGL852007 BQH851977:BQH852007 CAD851977:CAD852007 CJZ851977:CJZ852007 CTV851977:CTV852007 DDR851977:DDR852007 DNN851977:DNN852007 DXJ851977:DXJ852007 EHF851977:EHF852007 ERB851977:ERB852007 FAX851977:FAX852007 FKT851977:FKT852007 FUP851977:FUP852007 GEL851977:GEL852007 GOH851977:GOH852007 GYD851977:GYD852007 HHZ851977:HHZ852007 HRV851977:HRV852007 IBR851977:IBR852007 ILN851977:ILN852007 IVJ851977:IVJ852007 JFF851977:JFF852007 JPB851977:JPB852007 JYX851977:JYX852007 KIT851977:KIT852007 KSP851977:KSP852007 LCL851977:LCL852007 LMH851977:LMH852007 LWD851977:LWD852007 MFZ851977:MFZ852007 MPV851977:MPV852007 MZR851977:MZR852007 NJN851977:NJN852007 NTJ851977:NTJ852007 ODF851977:ODF852007 ONB851977:ONB852007 OWX851977:OWX852007 PGT851977:PGT852007 PQP851977:PQP852007 QAL851977:QAL852007 QKH851977:QKH852007 QUD851977:QUD852007 RDZ851977:RDZ852007 RNV851977:RNV852007 RXR851977:RXR852007 SHN851977:SHN852007 SRJ851977:SRJ852007 TBF851977:TBF852007 TLB851977:TLB852007 TUX851977:TUX852007 UET851977:UET852007 UOP851977:UOP852007 UYL851977:UYL852007 VIH851977:VIH852007 VSD851977:VSD852007 WBZ851977:WBZ852007 WLV851977:WLV852007 WVR851977:WVR852007 H917513:J917543 JF917513:JF917543 TB917513:TB917543 ACX917513:ACX917543 AMT917513:AMT917543 AWP917513:AWP917543 BGL917513:BGL917543 BQH917513:BQH917543 CAD917513:CAD917543 CJZ917513:CJZ917543 CTV917513:CTV917543 DDR917513:DDR917543 DNN917513:DNN917543 DXJ917513:DXJ917543 EHF917513:EHF917543 ERB917513:ERB917543 FAX917513:FAX917543 FKT917513:FKT917543 FUP917513:FUP917543 GEL917513:GEL917543 GOH917513:GOH917543 GYD917513:GYD917543 HHZ917513:HHZ917543 HRV917513:HRV917543 IBR917513:IBR917543 ILN917513:ILN917543 IVJ917513:IVJ917543 JFF917513:JFF917543 JPB917513:JPB917543 JYX917513:JYX917543 KIT917513:KIT917543 KSP917513:KSP917543 LCL917513:LCL917543 LMH917513:LMH917543 LWD917513:LWD917543 MFZ917513:MFZ917543 MPV917513:MPV917543 MZR917513:MZR917543 NJN917513:NJN917543 NTJ917513:NTJ917543 ODF917513:ODF917543 ONB917513:ONB917543 OWX917513:OWX917543 PGT917513:PGT917543 PQP917513:PQP917543 QAL917513:QAL917543 QKH917513:QKH917543 QUD917513:QUD917543 RDZ917513:RDZ917543 RNV917513:RNV917543 RXR917513:RXR917543 SHN917513:SHN917543 SRJ917513:SRJ917543 TBF917513:TBF917543 TLB917513:TLB917543 TUX917513:TUX917543 UET917513:UET917543 UOP917513:UOP917543 UYL917513:UYL917543 VIH917513:VIH917543 VSD917513:VSD917543 WBZ917513:WBZ917543 WLV917513:WLV917543 WVR917513:WVR917543 H983049:J983079 JF983049:JF983079 TB983049:TB983079 ACX983049:ACX983079 AMT983049:AMT983079 AWP983049:AWP983079 BGL983049:BGL983079 BQH983049:BQH983079 CAD983049:CAD983079 CJZ983049:CJZ983079 CTV983049:CTV983079 DDR983049:DDR983079 DNN983049:DNN983079 DXJ983049:DXJ983079 EHF983049:EHF983079 ERB983049:ERB983079 FAX983049:FAX983079 FKT983049:FKT983079 FUP983049:FUP983079 GEL983049:GEL983079 GOH983049:GOH983079 GYD983049:GYD983079 HHZ983049:HHZ983079 HRV983049:HRV983079 IBR983049:IBR983079 ILN983049:ILN983079 IVJ983049:IVJ983079 JFF983049:JFF983079 JPB983049:JPB983079 JYX983049:JYX983079 KIT983049:KIT983079 KSP983049:KSP983079 LCL983049:LCL983079 LMH983049:LMH983079 LWD983049:LWD983079 MFZ983049:MFZ983079 MPV983049:MPV983079 MZR983049:MZR983079 NJN983049:NJN983079 NTJ983049:NTJ983079 ODF983049:ODF983079 ONB983049:ONB983079 OWX983049:OWX983079 PGT983049:PGT983079 PQP983049:PQP983079 QAL983049:QAL983079 QKH983049:QKH983079 QUD983049:QUD983079 RDZ983049:RDZ983079 RNV983049:RNV983079 RXR983049:RXR983079 SHN983049:SHN983079 SRJ983049:SRJ983079 TBF983049:TBF983079 TLB983049:TLB983079 TUX983049:TUX983079 UET983049:UET983079 UOP983049:UOP983079 UYL983049:UYL983079 VIH983049:VIH983079 VSD983049:VSD983079 WBZ983049:WBZ983079 WLV983049:WLV983079 WVR983049:WVR983079" xr:uid="{2BE5BE1F-84C0-4282-83D1-04D6A8A3CBB4}">
      <formula1>$B$43</formula1>
    </dataValidation>
    <dataValidation operator="lessThanOrEqual" allowBlank="1" showInputMessage="1" showErrorMessage="1" errorTitle="Duty Times exceed input range" error="THis is an interesting dilemma, you have entered a finish time later than 23:59 which will not be accepted by this program in it's beta version. Contact JD for upgrade." sqref="E10:F40" xr:uid="{F5DD493C-00DF-42A9-BC08-F56F20E2D6A0}"/>
    <dataValidation allowBlank="1" showInputMessage="1" showErrorMessage="1" errorTitle="WORKED REST DAYS" error="Jim says-_x000a_If you WORKED a REST DAY  enter a Y in the box, otherwise leave it BLANK!_x000a__x000a_Please try again..." sqref="H10:I40" xr:uid="{8403961A-7EFF-45BE-9BC8-A7C04530F696}"/>
    <dataValidation type="whole" operator="lessThan" allowBlank="1" showInputMessage="1" showErrorMessage="1" errorTitle="Overtime Limit" error="Controller only permitted to 4 Hours OT per day" sqref="M11:M40" xr:uid="{A30E5A29-6D20-4D05-835C-BC87ABB906F5}">
      <formula1>5</formula1>
    </dataValidation>
    <dataValidation type="time" operator="lessThan" allowBlank="1" showInputMessage="1" showErrorMessage="1" errorTitle="Overtime Limit" error="Controller only permitted to 4 Hours OT per day" sqref="M10" xr:uid="{3529F073-BB66-4D3B-BF6C-DE1FE20B3387}">
      <formula1>0.208333333333333</formula1>
    </dataValidation>
  </dataValidations>
  <printOptions horizontalCentered="1" verticalCentered="1"/>
  <pageMargins left="0.35433070866141736" right="0.31496062992125984" top="0.31496062992125984" bottom="0.43307086614173229" header="0.27559055118110237" footer="0.31496062992125984"/>
  <pageSetup scale="73" orientation="portrait" r:id="rId1"/>
  <headerFooter alignWithMargins="0">
    <oddFooter>&amp;L&amp;9&amp;K02-048Password is essential to protect sheet_x000D_&amp;1#&amp;"Calibri"&amp;8&amp;K000000 LIMITED SHARING&amp;RPrinted:-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66675</xdr:colOff>
                    <xdr:row>8</xdr:row>
                    <xdr:rowOff>171450</xdr:rowOff>
                  </from>
                  <to>
                    <xdr:col>7</xdr:col>
                    <xdr:colOff>285750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7</xdr:col>
                    <xdr:colOff>66675</xdr:colOff>
                    <xdr:row>9</xdr:row>
                    <xdr:rowOff>171450</xdr:rowOff>
                  </from>
                  <to>
                    <xdr:col>7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7</xdr:col>
                    <xdr:colOff>66675</xdr:colOff>
                    <xdr:row>10</xdr:row>
                    <xdr:rowOff>171450</xdr:rowOff>
                  </from>
                  <to>
                    <xdr:col>7</xdr:col>
                    <xdr:colOff>285750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7</xdr:col>
                    <xdr:colOff>66675</xdr:colOff>
                    <xdr:row>11</xdr:row>
                    <xdr:rowOff>171450</xdr:rowOff>
                  </from>
                  <to>
                    <xdr:col>7</xdr:col>
                    <xdr:colOff>285750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7</xdr:col>
                    <xdr:colOff>66675</xdr:colOff>
                    <xdr:row>12</xdr:row>
                    <xdr:rowOff>171450</xdr:rowOff>
                  </from>
                  <to>
                    <xdr:col>7</xdr:col>
                    <xdr:colOff>285750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7</xdr:col>
                    <xdr:colOff>66675</xdr:colOff>
                    <xdr:row>13</xdr:row>
                    <xdr:rowOff>171450</xdr:rowOff>
                  </from>
                  <to>
                    <xdr:col>7</xdr:col>
                    <xdr:colOff>285750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7</xdr:col>
                    <xdr:colOff>66675</xdr:colOff>
                    <xdr:row>14</xdr:row>
                    <xdr:rowOff>171450</xdr:rowOff>
                  </from>
                  <to>
                    <xdr:col>7</xdr:col>
                    <xdr:colOff>285750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7</xdr:col>
                    <xdr:colOff>66675</xdr:colOff>
                    <xdr:row>15</xdr:row>
                    <xdr:rowOff>171450</xdr:rowOff>
                  </from>
                  <to>
                    <xdr:col>7</xdr:col>
                    <xdr:colOff>285750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7</xdr:col>
                    <xdr:colOff>66675</xdr:colOff>
                    <xdr:row>16</xdr:row>
                    <xdr:rowOff>171450</xdr:rowOff>
                  </from>
                  <to>
                    <xdr:col>7</xdr:col>
                    <xdr:colOff>285750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66675</xdr:colOff>
                    <xdr:row>18</xdr:row>
                    <xdr:rowOff>171450</xdr:rowOff>
                  </from>
                  <to>
                    <xdr:col>7</xdr:col>
                    <xdr:colOff>285750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66675</xdr:colOff>
                    <xdr:row>17</xdr:row>
                    <xdr:rowOff>171450</xdr:rowOff>
                  </from>
                  <to>
                    <xdr:col>7</xdr:col>
                    <xdr:colOff>285750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66675</xdr:colOff>
                    <xdr:row>19</xdr:row>
                    <xdr:rowOff>171450</xdr:rowOff>
                  </from>
                  <to>
                    <xdr:col>7</xdr:col>
                    <xdr:colOff>285750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Check Box 13">
              <controlPr defaultSize="0" autoFill="0" autoLine="0" autoPict="0">
                <anchor moveWithCells="1">
                  <from>
                    <xdr:col>7</xdr:col>
                    <xdr:colOff>66675</xdr:colOff>
                    <xdr:row>20</xdr:row>
                    <xdr:rowOff>171450</xdr:rowOff>
                  </from>
                  <to>
                    <xdr:col>7</xdr:col>
                    <xdr:colOff>285750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7</xdr:col>
                    <xdr:colOff>285750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7</xdr:col>
                    <xdr:colOff>66675</xdr:colOff>
                    <xdr:row>22</xdr:row>
                    <xdr:rowOff>171450</xdr:rowOff>
                  </from>
                  <to>
                    <xdr:col>7</xdr:col>
                    <xdr:colOff>285750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66675</xdr:colOff>
                    <xdr:row>23</xdr:row>
                    <xdr:rowOff>171450</xdr:rowOff>
                  </from>
                  <to>
                    <xdr:col>7</xdr:col>
                    <xdr:colOff>285750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7</xdr:col>
                    <xdr:colOff>66675</xdr:colOff>
                    <xdr:row>24</xdr:row>
                    <xdr:rowOff>171450</xdr:rowOff>
                  </from>
                  <to>
                    <xdr:col>7</xdr:col>
                    <xdr:colOff>285750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Check Box 18">
              <controlPr defaultSize="0" autoFill="0" autoLine="0" autoPict="0">
                <anchor moveWithCells="1">
                  <from>
                    <xdr:col>7</xdr:col>
                    <xdr:colOff>66675</xdr:colOff>
                    <xdr:row>25</xdr:row>
                    <xdr:rowOff>171450</xdr:rowOff>
                  </from>
                  <to>
                    <xdr:col>7</xdr:col>
                    <xdr:colOff>285750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Check Box 19">
              <controlPr defaultSize="0" autoFill="0" autoLine="0" autoPict="0">
                <anchor moveWithCells="1">
                  <from>
                    <xdr:col>7</xdr:col>
                    <xdr:colOff>66675</xdr:colOff>
                    <xdr:row>26</xdr:row>
                    <xdr:rowOff>171450</xdr:rowOff>
                  </from>
                  <to>
                    <xdr:col>7</xdr:col>
                    <xdr:colOff>285750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Check Box 20">
              <controlPr defaultSize="0" autoFill="0" autoLine="0" autoPict="0">
                <anchor moveWithCells="1">
                  <from>
                    <xdr:col>7</xdr:col>
                    <xdr:colOff>66675</xdr:colOff>
                    <xdr:row>27</xdr:row>
                    <xdr:rowOff>171450</xdr:rowOff>
                  </from>
                  <to>
                    <xdr:col>7</xdr:col>
                    <xdr:colOff>285750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Check Box 21">
              <controlPr defaultSize="0" autoFill="0" autoLine="0" autoPict="0">
                <anchor moveWithCells="1">
                  <from>
                    <xdr:col>7</xdr:col>
                    <xdr:colOff>66675</xdr:colOff>
                    <xdr:row>28</xdr:row>
                    <xdr:rowOff>171450</xdr:rowOff>
                  </from>
                  <to>
                    <xdr:col>7</xdr:col>
                    <xdr:colOff>285750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heck Box 22">
              <controlPr defaultSize="0" autoFill="0" autoLine="0" autoPict="0">
                <anchor moveWithCells="1">
                  <from>
                    <xdr:col>7</xdr:col>
                    <xdr:colOff>66675</xdr:colOff>
                    <xdr:row>29</xdr:row>
                    <xdr:rowOff>171450</xdr:rowOff>
                  </from>
                  <to>
                    <xdr:col>7</xdr:col>
                    <xdr:colOff>285750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heck Box 23">
              <controlPr defaultSize="0" autoFill="0" autoLine="0" autoPict="0">
                <anchor moveWithCells="1">
                  <from>
                    <xdr:col>7</xdr:col>
                    <xdr:colOff>66675</xdr:colOff>
                    <xdr:row>30</xdr:row>
                    <xdr:rowOff>171450</xdr:rowOff>
                  </from>
                  <to>
                    <xdr:col>7</xdr:col>
                    <xdr:colOff>285750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heck Box 24">
              <controlPr defaultSize="0" autoFill="0" autoLine="0" autoPict="0">
                <anchor moveWithCells="1">
                  <from>
                    <xdr:col>7</xdr:col>
                    <xdr:colOff>66675</xdr:colOff>
                    <xdr:row>31</xdr:row>
                    <xdr:rowOff>171450</xdr:rowOff>
                  </from>
                  <to>
                    <xdr:col>7</xdr:col>
                    <xdr:colOff>285750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heck Box 25">
              <controlPr defaultSize="0" autoFill="0" autoLine="0" autoPict="0">
                <anchor moveWithCells="1">
                  <from>
                    <xdr:col>7</xdr:col>
                    <xdr:colOff>66675</xdr:colOff>
                    <xdr:row>32</xdr:row>
                    <xdr:rowOff>171450</xdr:rowOff>
                  </from>
                  <to>
                    <xdr:col>7</xdr:col>
                    <xdr:colOff>285750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heck Box 26">
              <controlPr defaultSize="0" autoFill="0" autoLine="0" autoPict="0">
                <anchor moveWithCells="1">
                  <from>
                    <xdr:col>7</xdr:col>
                    <xdr:colOff>66675</xdr:colOff>
                    <xdr:row>33</xdr:row>
                    <xdr:rowOff>171450</xdr:rowOff>
                  </from>
                  <to>
                    <xdr:col>7</xdr:col>
                    <xdr:colOff>285750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heck Box 27">
              <controlPr defaultSize="0" autoFill="0" autoLine="0" autoPict="0">
                <anchor moveWithCells="1">
                  <from>
                    <xdr:col>7</xdr:col>
                    <xdr:colOff>66675</xdr:colOff>
                    <xdr:row>34</xdr:row>
                    <xdr:rowOff>171450</xdr:rowOff>
                  </from>
                  <to>
                    <xdr:col>7</xdr:col>
                    <xdr:colOff>285750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heck Box 28">
              <controlPr defaultSize="0" autoFill="0" autoLine="0" autoPict="0">
                <anchor moveWithCells="1">
                  <from>
                    <xdr:col>7</xdr:col>
                    <xdr:colOff>66675</xdr:colOff>
                    <xdr:row>35</xdr:row>
                    <xdr:rowOff>171450</xdr:rowOff>
                  </from>
                  <to>
                    <xdr:col>7</xdr:col>
                    <xdr:colOff>285750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heck Box 29">
              <controlPr defaultSize="0" autoFill="0" autoLine="0" autoPict="0">
                <anchor moveWithCells="1">
                  <from>
                    <xdr:col>7</xdr:col>
                    <xdr:colOff>66675</xdr:colOff>
                    <xdr:row>36</xdr:row>
                    <xdr:rowOff>171450</xdr:rowOff>
                  </from>
                  <to>
                    <xdr:col>7</xdr:col>
                    <xdr:colOff>285750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heck Box 30">
              <controlPr defaultSize="0" autoFill="0" autoLine="0" autoPict="0">
                <anchor moveWithCells="1">
                  <from>
                    <xdr:col>7</xdr:col>
                    <xdr:colOff>66675</xdr:colOff>
                    <xdr:row>37</xdr:row>
                    <xdr:rowOff>171450</xdr:rowOff>
                  </from>
                  <to>
                    <xdr:col>7</xdr:col>
                    <xdr:colOff>285750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Check Box 31">
              <controlPr defaultSize="0" autoFill="0" autoLine="0" autoPict="0">
                <anchor moveWithCells="1">
                  <from>
                    <xdr:col>7</xdr:col>
                    <xdr:colOff>66675</xdr:colOff>
                    <xdr:row>38</xdr:row>
                    <xdr:rowOff>171450</xdr:rowOff>
                  </from>
                  <to>
                    <xdr:col>7</xdr:col>
                    <xdr:colOff>285750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ClearCheckBoxesAndColumns">
                <anchor>
                  <from>
                    <xdr:col>8</xdr:col>
                    <xdr:colOff>9525</xdr:colOff>
                    <xdr:row>1</xdr:row>
                    <xdr:rowOff>266700</xdr:rowOff>
                  </from>
                  <to>
                    <xdr:col>11</xdr:col>
                    <xdr:colOff>95250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Month" prompt="Please Select From The List" xr:uid="{DE6357EC-D045-421D-BD28-E3D59D703355}">
          <x14:formula1>
            <xm:f>Values!$H$37:$H$48</xm:f>
          </x14:formula1>
          <xm:sqref>P2:Q4</xm:sqref>
        </x14:dataValidation>
        <x14:dataValidation type="list" allowBlank="1" showInputMessage="1" showErrorMessage="1" errorTitle="WORKED REST DAYS" error="Jim says-_x000a_If you WORKED a REST DAY  enter a Y in the box, otherwise leave it BLANK!_x000a__x000a_Please try again..." xr:uid="{0917140E-B5EF-420E-A06D-B276039D17E5}">
          <x14:formula1>
            <xm:f>Values!$B$3:$B$40</xm:f>
          </x14:formula1>
          <xm:sqref>J10:J40</xm:sqref>
        </x14:dataValidation>
        <x14:dataValidation type="list" allowBlank="1" showInputMessage="1" showErrorMessage="1" xr:uid="{CC69A816-E53F-48FD-87E6-6AA6E3DE44C0}">
          <x14:formula1>
            <xm:f>Values!$B$3:$B$52</xm:f>
          </x14:formula1>
          <xm:sqref>D10:D40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B306-9F06-4493-82E3-F02D91B4A41D}">
  <sheetPr codeName="Sheet2"/>
  <dimension ref="A2:S56"/>
  <sheetViews>
    <sheetView zoomScale="110" zoomScaleNormal="110" workbookViewId="0">
      <selection activeCell="H4" sqref="H4"/>
    </sheetView>
  </sheetViews>
  <sheetFormatPr defaultRowHeight="16.5" x14ac:dyDescent="0.3"/>
  <cols>
    <col min="2" max="4" width="20.7109375" style="46" customWidth="1"/>
    <col min="5" max="7" width="20.7109375" style="47" customWidth="1"/>
    <col min="8" max="8" width="20.7109375" customWidth="1"/>
  </cols>
  <sheetData>
    <row r="2" spans="2:19" ht="17.25" thickBot="1" x14ac:dyDescent="0.35"/>
    <row r="3" spans="2:19" ht="17.25" thickTop="1" x14ac:dyDescent="0.2">
      <c r="B3" s="96" t="s">
        <v>29</v>
      </c>
      <c r="C3" s="97">
        <v>0.20833333333333334</v>
      </c>
      <c r="D3" s="98">
        <v>0.54166666666666663</v>
      </c>
      <c r="F3" s="48" t="s">
        <v>23</v>
      </c>
      <c r="H3" s="48" t="s">
        <v>26</v>
      </c>
    </row>
    <row r="4" spans="2:19" x14ac:dyDescent="0.3">
      <c r="B4" s="99" t="s">
        <v>30</v>
      </c>
      <c r="C4" s="66">
        <v>0.54166666666666663</v>
      </c>
      <c r="D4" s="100">
        <v>0.875</v>
      </c>
      <c r="F4" s="49" t="b">
        <v>0</v>
      </c>
      <c r="H4" s="57">
        <v>45658</v>
      </c>
    </row>
    <row r="5" spans="2:19" x14ac:dyDescent="0.3">
      <c r="B5" s="99" t="s">
        <v>31</v>
      </c>
      <c r="C5" s="66">
        <v>0.25</v>
      </c>
      <c r="D5" s="100">
        <v>0.58333333333333337</v>
      </c>
      <c r="F5" s="49" t="b">
        <v>0</v>
      </c>
      <c r="H5" s="57">
        <v>45765</v>
      </c>
    </row>
    <row r="6" spans="2:19" x14ac:dyDescent="0.3">
      <c r="B6" s="99" t="s">
        <v>32</v>
      </c>
      <c r="C6" s="66">
        <v>0.58333333333333337</v>
      </c>
      <c r="D6" s="100">
        <v>0.91666666666666663</v>
      </c>
      <c r="F6" s="49" t="b">
        <v>0</v>
      </c>
      <c r="H6" s="57">
        <v>45768</v>
      </c>
    </row>
    <row r="7" spans="2:19" x14ac:dyDescent="0.3">
      <c r="B7" s="99" t="s">
        <v>33</v>
      </c>
      <c r="C7" s="66">
        <v>0.25</v>
      </c>
      <c r="D7" s="100">
        <v>0.58333333333333337</v>
      </c>
      <c r="F7" s="49" t="b">
        <v>0</v>
      </c>
      <c r="H7" s="57">
        <v>45782</v>
      </c>
    </row>
    <row r="8" spans="2:19" x14ac:dyDescent="0.3">
      <c r="B8" s="99" t="s">
        <v>34</v>
      </c>
      <c r="C8" s="66">
        <v>0.58333333333333337</v>
      </c>
      <c r="D8" s="100">
        <v>0.91666666666666663</v>
      </c>
      <c r="F8" s="49" t="b">
        <v>0</v>
      </c>
      <c r="H8" s="57">
        <v>45803</v>
      </c>
    </row>
    <row r="9" spans="2:19" x14ac:dyDescent="0.3">
      <c r="B9" s="99" t="s">
        <v>52</v>
      </c>
      <c r="C9" s="66">
        <v>0.25</v>
      </c>
      <c r="D9" s="100">
        <v>0.58333333333333337</v>
      </c>
      <c r="F9" s="49" t="b">
        <v>0</v>
      </c>
      <c r="H9" s="57">
        <v>45894</v>
      </c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2:19" x14ac:dyDescent="0.3">
      <c r="B10" s="99" t="s">
        <v>53</v>
      </c>
      <c r="C10" s="66">
        <v>0.58333333333333337</v>
      </c>
      <c r="D10" s="100">
        <v>0.91666666666666663</v>
      </c>
      <c r="F10" s="49" t="b">
        <v>0</v>
      </c>
      <c r="H10" s="57">
        <v>46016</v>
      </c>
    </row>
    <row r="11" spans="2:19" ht="17.25" thickBot="1" x14ac:dyDescent="0.35">
      <c r="B11" s="99" t="s">
        <v>54</v>
      </c>
      <c r="C11" s="66">
        <v>0.25</v>
      </c>
      <c r="D11" s="100">
        <v>0.58333333333333337</v>
      </c>
      <c r="F11" s="49" t="b">
        <v>0</v>
      </c>
      <c r="H11" s="59">
        <v>46017</v>
      </c>
    </row>
    <row r="12" spans="2:19" ht="18" thickTop="1" thickBot="1" x14ac:dyDescent="0.25">
      <c r="B12" s="99" t="s">
        <v>55</v>
      </c>
      <c r="C12" s="66">
        <v>0.58333333333333337</v>
      </c>
      <c r="D12" s="100">
        <v>0.91666666666666663</v>
      </c>
      <c r="F12" s="49" t="b">
        <v>0</v>
      </c>
    </row>
    <row r="13" spans="2:19" ht="17.25" thickTop="1" x14ac:dyDescent="0.2">
      <c r="B13" s="99" t="s">
        <v>56</v>
      </c>
      <c r="C13" s="66">
        <v>0.25</v>
      </c>
      <c r="D13" s="100">
        <v>0.58333333333333337</v>
      </c>
      <c r="F13" s="49" t="b">
        <v>0</v>
      </c>
      <c r="H13" s="60" t="s">
        <v>28</v>
      </c>
    </row>
    <row r="14" spans="2:19" x14ac:dyDescent="0.2">
      <c r="B14" s="99" t="s">
        <v>57</v>
      </c>
      <c r="C14" s="66">
        <v>0.58333333333333337</v>
      </c>
      <c r="D14" s="100">
        <v>0.91666666666666663</v>
      </c>
      <c r="F14" s="49" t="b">
        <v>0</v>
      </c>
      <c r="H14" s="61">
        <v>45684</v>
      </c>
    </row>
    <row r="15" spans="2:19" x14ac:dyDescent="0.2">
      <c r="B15" s="99" t="s">
        <v>58</v>
      </c>
      <c r="C15" s="66">
        <v>0.25</v>
      </c>
      <c r="D15" s="100">
        <v>0.58333333333333337</v>
      </c>
      <c r="F15" s="49" t="b">
        <v>0</v>
      </c>
      <c r="H15" s="61">
        <v>45715</v>
      </c>
    </row>
    <row r="16" spans="2:19" x14ac:dyDescent="0.2">
      <c r="B16" s="99" t="s">
        <v>59</v>
      </c>
      <c r="C16" s="66">
        <v>0.58333333333333337</v>
      </c>
      <c r="D16" s="100">
        <v>0.91666666666666663</v>
      </c>
      <c r="F16" s="49" t="b">
        <v>0</v>
      </c>
      <c r="H16" s="61">
        <v>45743</v>
      </c>
    </row>
    <row r="17" spans="2:8" x14ac:dyDescent="0.2">
      <c r="B17" s="99" t="s">
        <v>60</v>
      </c>
      <c r="C17" s="66">
        <v>0.25</v>
      </c>
      <c r="D17" s="100">
        <v>0.58333333333333337</v>
      </c>
      <c r="F17" s="49" t="b">
        <v>0</v>
      </c>
      <c r="H17" s="61">
        <v>45772</v>
      </c>
    </row>
    <row r="18" spans="2:8" x14ac:dyDescent="0.2">
      <c r="B18" s="99" t="s">
        <v>61</v>
      </c>
      <c r="C18" s="66">
        <v>0.58333333333333337</v>
      </c>
      <c r="D18" s="100">
        <v>0.91666666666666663</v>
      </c>
      <c r="F18" s="49" t="b">
        <v>0</v>
      </c>
      <c r="H18" s="61">
        <v>45800</v>
      </c>
    </row>
    <row r="19" spans="2:8" x14ac:dyDescent="0.2">
      <c r="B19" s="99" t="s">
        <v>62</v>
      </c>
      <c r="C19" s="66">
        <v>0.29166666666666669</v>
      </c>
      <c r="D19" s="100">
        <v>0.625</v>
      </c>
      <c r="F19" s="49" t="b">
        <v>0</v>
      </c>
      <c r="H19" s="61">
        <v>45835</v>
      </c>
    </row>
    <row r="20" spans="2:8" x14ac:dyDescent="0.2">
      <c r="B20" s="99" t="s">
        <v>81</v>
      </c>
      <c r="C20" s="66">
        <v>0.625</v>
      </c>
      <c r="D20" s="100">
        <v>0.95833333333333337</v>
      </c>
      <c r="F20" s="49" t="b">
        <v>0</v>
      </c>
      <c r="H20" s="61">
        <v>45863</v>
      </c>
    </row>
    <row r="21" spans="2:8" x14ac:dyDescent="0.2">
      <c r="B21" s="99" t="s">
        <v>77</v>
      </c>
      <c r="C21" s="66">
        <v>0.33333333333333331</v>
      </c>
      <c r="D21" s="100">
        <v>0.66666666666666663</v>
      </c>
      <c r="F21" s="49" t="b">
        <v>0</v>
      </c>
      <c r="H21" s="61">
        <v>45896</v>
      </c>
    </row>
    <row r="22" spans="2:8" x14ac:dyDescent="0.2">
      <c r="B22" s="99" t="s">
        <v>78</v>
      </c>
      <c r="C22" s="66">
        <v>0.66666666666666663</v>
      </c>
      <c r="D22" s="100">
        <v>1</v>
      </c>
      <c r="F22" s="49" t="b">
        <v>0</v>
      </c>
      <c r="H22" s="61">
        <v>45927</v>
      </c>
    </row>
    <row r="23" spans="2:8" x14ac:dyDescent="0.2">
      <c r="B23" s="99" t="s">
        <v>35</v>
      </c>
      <c r="C23" s="66">
        <v>0.25</v>
      </c>
      <c r="D23" s="100">
        <v>0.58333333333333337</v>
      </c>
      <c r="F23" s="49" t="b">
        <v>0</v>
      </c>
      <c r="H23" s="61">
        <v>45954</v>
      </c>
    </row>
    <row r="24" spans="2:8" x14ac:dyDescent="0.2">
      <c r="B24" s="99" t="s">
        <v>63</v>
      </c>
      <c r="C24" s="66">
        <v>0.41666666666666669</v>
      </c>
      <c r="D24" s="100">
        <v>0.75</v>
      </c>
      <c r="F24" s="49" t="b">
        <v>0</v>
      </c>
      <c r="H24" s="61">
        <v>45989</v>
      </c>
    </row>
    <row r="25" spans="2:8" ht="17.25" thickBot="1" x14ac:dyDescent="0.25">
      <c r="B25" s="99" t="s">
        <v>36</v>
      </c>
      <c r="C25" s="66">
        <v>0.58333333333333337</v>
      </c>
      <c r="D25" s="100">
        <v>0.91666666666666663</v>
      </c>
      <c r="F25" s="49" t="b">
        <v>0</v>
      </c>
      <c r="H25" s="64">
        <v>45650</v>
      </c>
    </row>
    <row r="26" spans="2:8" ht="17.25" thickTop="1" x14ac:dyDescent="0.2">
      <c r="B26" s="99" t="s">
        <v>91</v>
      </c>
      <c r="C26" s="66">
        <v>0.66666666666666663</v>
      </c>
      <c r="D26" s="100">
        <v>1</v>
      </c>
      <c r="F26" s="49" t="b">
        <v>0</v>
      </c>
      <c r="H26" s="79"/>
    </row>
    <row r="27" spans="2:8" x14ac:dyDescent="0.3">
      <c r="B27" s="120" t="s">
        <v>92</v>
      </c>
      <c r="C27" s="121"/>
      <c r="D27" s="101"/>
      <c r="F27" s="49" t="b">
        <v>0</v>
      </c>
      <c r="H27" s="79"/>
    </row>
    <row r="28" spans="2:8" x14ac:dyDescent="0.2">
      <c r="B28" s="102" t="s">
        <v>74</v>
      </c>
      <c r="C28" s="81" t="s">
        <v>84</v>
      </c>
      <c r="D28" s="103" t="s">
        <v>88</v>
      </c>
      <c r="F28" s="49" t="b">
        <v>0</v>
      </c>
      <c r="H28" s="79"/>
    </row>
    <row r="29" spans="2:8" x14ac:dyDescent="0.2">
      <c r="B29" s="104" t="s">
        <v>90</v>
      </c>
      <c r="C29" s="81" t="s">
        <v>84</v>
      </c>
      <c r="D29" s="103" t="s">
        <v>88</v>
      </c>
      <c r="F29" s="49" t="b">
        <v>0</v>
      </c>
      <c r="H29" s="79"/>
    </row>
    <row r="30" spans="2:8" x14ac:dyDescent="0.2">
      <c r="B30" s="104" t="s">
        <v>82</v>
      </c>
      <c r="C30" s="81" t="s">
        <v>84</v>
      </c>
      <c r="D30" s="103" t="s">
        <v>88</v>
      </c>
      <c r="F30" s="49" t="b">
        <v>0</v>
      </c>
      <c r="H30" s="79"/>
    </row>
    <row r="31" spans="2:8" x14ac:dyDescent="0.2">
      <c r="B31" s="104" t="s">
        <v>86</v>
      </c>
      <c r="C31" s="81" t="s">
        <v>84</v>
      </c>
      <c r="D31" s="103" t="s">
        <v>88</v>
      </c>
      <c r="F31" s="49" t="b">
        <v>0</v>
      </c>
      <c r="H31" s="79"/>
    </row>
    <row r="32" spans="2:8" x14ac:dyDescent="0.2">
      <c r="B32" s="104" t="s">
        <v>85</v>
      </c>
      <c r="C32" s="81" t="s">
        <v>84</v>
      </c>
      <c r="D32" s="103" t="s">
        <v>88</v>
      </c>
      <c r="F32" s="49" t="b">
        <v>0</v>
      </c>
    </row>
    <row r="33" spans="2:8" x14ac:dyDescent="0.2">
      <c r="B33" s="104" t="s">
        <v>87</v>
      </c>
      <c r="C33" s="81" t="s">
        <v>84</v>
      </c>
      <c r="D33" s="103" t="s">
        <v>88</v>
      </c>
      <c r="F33" s="49" t="b">
        <v>0</v>
      </c>
    </row>
    <row r="34" spans="2:8" x14ac:dyDescent="0.2">
      <c r="B34" s="105" t="s">
        <v>67</v>
      </c>
      <c r="C34" s="78">
        <v>0.91666666666666663</v>
      </c>
      <c r="D34" s="106">
        <v>0.25</v>
      </c>
      <c r="F34" s="49" t="b">
        <v>0</v>
      </c>
    </row>
    <row r="35" spans="2:8" ht="17.25" thickBot="1" x14ac:dyDescent="0.25">
      <c r="B35" s="105" t="s">
        <v>68</v>
      </c>
      <c r="C35" s="78">
        <v>0.91666666666666663</v>
      </c>
      <c r="D35" s="106">
        <v>0.25</v>
      </c>
      <c r="F35" s="49" t="b">
        <v>0</v>
      </c>
    </row>
    <row r="36" spans="2:8" ht="17.25" thickTop="1" x14ac:dyDescent="0.2">
      <c r="B36" s="105" t="s">
        <v>69</v>
      </c>
      <c r="C36" s="78">
        <v>0.91666666666666663</v>
      </c>
      <c r="D36" s="106">
        <v>0.25</v>
      </c>
      <c r="F36" s="49" t="b">
        <v>0</v>
      </c>
      <c r="H36" s="48" t="s">
        <v>27</v>
      </c>
    </row>
    <row r="37" spans="2:8" x14ac:dyDescent="0.3">
      <c r="B37" s="105" t="s">
        <v>70</v>
      </c>
      <c r="C37" s="78">
        <v>0.91666666666666663</v>
      </c>
      <c r="D37" s="106">
        <v>0.25</v>
      </c>
      <c r="F37" s="49" t="b">
        <v>0</v>
      </c>
      <c r="H37" s="58">
        <v>45658</v>
      </c>
    </row>
    <row r="38" spans="2:8" x14ac:dyDescent="0.3">
      <c r="B38" s="107" t="s">
        <v>43</v>
      </c>
      <c r="C38" s="66">
        <v>0.25</v>
      </c>
      <c r="D38" s="100">
        <v>0.58333333333333337</v>
      </c>
      <c r="F38" s="49" t="b">
        <v>0</v>
      </c>
      <c r="H38" s="58">
        <v>45689</v>
      </c>
    </row>
    <row r="39" spans="2:8" x14ac:dyDescent="0.3">
      <c r="B39" s="107" t="s">
        <v>64</v>
      </c>
      <c r="C39" s="66">
        <v>0.41666666666666669</v>
      </c>
      <c r="D39" s="100">
        <v>0.75</v>
      </c>
      <c r="F39" s="49" t="b">
        <v>0</v>
      </c>
      <c r="H39" s="58">
        <v>45717</v>
      </c>
    </row>
    <row r="40" spans="2:8" x14ac:dyDescent="0.3">
      <c r="B40" s="108" t="s">
        <v>44</v>
      </c>
      <c r="C40" s="70">
        <v>0.58333333333333337</v>
      </c>
      <c r="D40" s="109">
        <v>0.91666666666666663</v>
      </c>
      <c r="F40" s="49" t="b">
        <v>0</v>
      </c>
      <c r="H40" s="58">
        <v>45748</v>
      </c>
    </row>
    <row r="41" spans="2:8" x14ac:dyDescent="0.3">
      <c r="B41" s="108" t="s">
        <v>46</v>
      </c>
      <c r="C41" s="66">
        <v>0.25</v>
      </c>
      <c r="D41" s="100">
        <v>0.58333333333333337</v>
      </c>
      <c r="F41" s="49" t="b">
        <v>0</v>
      </c>
      <c r="H41" s="58">
        <v>45778</v>
      </c>
    </row>
    <row r="42" spans="2:8" x14ac:dyDescent="0.3">
      <c r="B42" s="108" t="s">
        <v>47</v>
      </c>
      <c r="C42" s="70">
        <v>0.45833333333333331</v>
      </c>
      <c r="D42" s="109">
        <v>0.79166666666666663</v>
      </c>
      <c r="F42" s="49" t="b">
        <v>0</v>
      </c>
      <c r="H42" s="58">
        <v>45809</v>
      </c>
    </row>
    <row r="43" spans="2:8" x14ac:dyDescent="0.3">
      <c r="B43" s="108" t="s">
        <v>48</v>
      </c>
      <c r="C43" s="70">
        <v>0.5</v>
      </c>
      <c r="D43" s="109">
        <v>0.83333333333333337</v>
      </c>
      <c r="F43" s="49" t="b">
        <v>0</v>
      </c>
      <c r="H43" s="58">
        <v>45839</v>
      </c>
    </row>
    <row r="44" spans="2:8" ht="17.25" thickBot="1" x14ac:dyDescent="0.35">
      <c r="B44" s="108" t="s">
        <v>49</v>
      </c>
      <c r="C44" s="66">
        <v>0.25</v>
      </c>
      <c r="D44" s="100">
        <v>0.58333333333333337</v>
      </c>
      <c r="F44" s="63" t="b">
        <v>0</v>
      </c>
      <c r="H44" s="58">
        <v>45870</v>
      </c>
    </row>
    <row r="45" spans="2:8" ht="17.25" thickTop="1" x14ac:dyDescent="0.3">
      <c r="B45" s="108" t="s">
        <v>50</v>
      </c>
      <c r="C45" s="70">
        <v>0.45833333333333331</v>
      </c>
      <c r="D45" s="109">
        <v>0.79166666666666663</v>
      </c>
      <c r="H45" s="58">
        <v>45901</v>
      </c>
    </row>
    <row r="46" spans="2:8" x14ac:dyDescent="0.3">
      <c r="B46" s="108" t="s">
        <v>51</v>
      </c>
      <c r="C46" s="70">
        <v>0.5</v>
      </c>
      <c r="D46" s="109">
        <v>0.83333333333333337</v>
      </c>
      <c r="H46" s="58">
        <v>45931</v>
      </c>
    </row>
    <row r="47" spans="2:8" x14ac:dyDescent="0.3">
      <c r="B47" s="110" t="s">
        <v>37</v>
      </c>
      <c r="C47" s="65"/>
      <c r="D47" s="111"/>
      <c r="H47" s="58">
        <v>45962</v>
      </c>
    </row>
    <row r="48" spans="2:8" ht="17.25" thickBot="1" x14ac:dyDescent="0.35">
      <c r="B48" s="112" t="s">
        <v>24</v>
      </c>
      <c r="C48" s="65"/>
      <c r="D48" s="111"/>
      <c r="H48" s="62">
        <v>45992</v>
      </c>
    </row>
    <row r="49" spans="1:8" ht="17.25" thickTop="1" x14ac:dyDescent="0.3">
      <c r="B49" s="113" t="s">
        <v>39</v>
      </c>
      <c r="C49" s="65"/>
      <c r="D49" s="111"/>
      <c r="H49" s="86"/>
    </row>
    <row r="50" spans="1:8" x14ac:dyDescent="0.2">
      <c r="B50" s="114" t="s">
        <v>75</v>
      </c>
      <c r="C50" s="80"/>
      <c r="D50" s="115"/>
    </row>
    <row r="51" spans="1:8" x14ac:dyDescent="0.2">
      <c r="B51" s="116" t="s">
        <v>83</v>
      </c>
      <c r="C51" s="80"/>
      <c r="D51" s="115"/>
    </row>
    <row r="52" spans="1:8" ht="17.25" thickBot="1" x14ac:dyDescent="0.25">
      <c r="B52" s="117" t="s">
        <v>38</v>
      </c>
      <c r="C52" s="118"/>
      <c r="D52" s="119"/>
    </row>
    <row r="53" spans="1:8" ht="17.25" thickBot="1" x14ac:dyDescent="0.35">
      <c r="A53" s="69"/>
    </row>
    <row r="54" spans="1:8" ht="17.25" thickTop="1" x14ac:dyDescent="0.3">
      <c r="B54" s="50" t="s">
        <v>25</v>
      </c>
      <c r="C54" s="51"/>
      <c r="D54" s="52">
        <v>25.04</v>
      </c>
    </row>
    <row r="55" spans="1:8" ht="17.25" thickBot="1" x14ac:dyDescent="0.35">
      <c r="B55" s="54" t="s">
        <v>76</v>
      </c>
      <c r="C55" s="55"/>
      <c r="D55" s="56"/>
    </row>
    <row r="56" spans="1:8" ht="17.25" thickTop="1" x14ac:dyDescent="0.3"/>
  </sheetData>
  <pageMargins left="0.7" right="0.7" top="0.75" bottom="0.75" header="0.3" footer="0.3"/>
  <headerFooter>
    <oddFooter>&amp;L_x000D_&amp;1#&amp;"Calibri"&amp;8&amp;K000000 LIMITED SHARING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BE2DB61CD428041B1EE760B6FB2E4C6" ma:contentTypeVersion="14" ma:contentTypeDescription="Create a new document." ma:contentTypeScope="" ma:versionID="872c1019ce2f3c11c007a4eb41466ecc">
  <xsd:schema xmlns:xsd="http://www.w3.org/2001/XMLSchema" xmlns:xs="http://www.w3.org/2001/XMLSchema" xmlns:p="http://schemas.microsoft.com/office/2006/metadata/properties" xmlns:ns3="de8e67bb-9d23-41d4-a0de-30c034985c80" xmlns:ns4="46cffe02-042b-496e-a6b4-1c33e9321d84" targetNamespace="http://schemas.microsoft.com/office/2006/metadata/properties" ma:root="true" ma:fieldsID="978ec3d8091e97696c364638424c41ee" ns3:_="" ns4:_="">
    <xsd:import namespace="de8e67bb-9d23-41d4-a0de-30c034985c80"/>
    <xsd:import namespace="46cffe02-042b-496e-a6b4-1c33e9321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8e67bb-9d23-41d4-a0de-30c034985c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cffe02-042b-496e-a6b4-1c33e9321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8e67bb-9d23-41d4-a0de-30c034985c8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BDC6B8-61F9-4A48-931F-F09D69B8E1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8e67bb-9d23-41d4-a0de-30c034985c80"/>
    <ds:schemaRef ds:uri="46cffe02-042b-496e-a6b4-1c33e9321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BAA4AAD-0021-406C-A530-8BA3D6304817}">
  <ds:schemaRefs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46cffe02-042b-496e-a6b4-1c33e9321d84"/>
    <ds:schemaRef ds:uri="de8e67bb-9d23-41d4-a0de-30c034985c80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B1687A5-6DB9-4672-A764-D5B661405E4A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ec47177-7042-437d-aa6f-31fd7962b727}" enabled="1" method="Standard" siteId="{b87cc266-09c4-40cc-8dfa-c92e08bf9c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Duty Statement</vt:lpstr>
      <vt:lpstr>Values</vt:lpstr>
      <vt:lpstr>LD</vt:lpstr>
      <vt:lpstr>PD</vt:lpstr>
      <vt:lpstr>'Duty Statement'!Print_Area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Rahman</dc:creator>
  <cp:lastModifiedBy>ALTIOGLU Hasan</cp:lastModifiedBy>
  <cp:lastPrinted>2025-04-05T13:38:39Z</cp:lastPrinted>
  <dcterms:created xsi:type="dcterms:W3CDTF">2024-01-19T03:55:29Z</dcterms:created>
  <dcterms:modified xsi:type="dcterms:W3CDTF">2025-04-28T19:16:58Z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0x0101006BE2DB61CD428041B1EE760B6FB2E4C6</vt:lpwstr>
  </property>
</Properties>
</file>